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實驗數據" sheetId="1" r:id="rId4"/>
    <sheet state="visible" name="計算用" sheetId="2" r:id="rId5"/>
  </sheets>
  <definedNames/>
  <calcPr/>
  <extLst>
    <ext uri="GoogleSheetsCustomDataVersion2">
      <go:sheetsCustomData xmlns:go="http://customooxmlschemas.google.com/" r:id="rId6" roundtripDataChecksum="xBxvqwuCG9oJFDHKjhB0M+WSK+gqI1yBTd5sIXF3LHI="/>
    </ext>
  </extLst>
</workbook>
</file>

<file path=xl/sharedStrings.xml><?xml version="1.0" encoding="utf-8"?>
<sst xmlns="http://schemas.openxmlformats.org/spreadsheetml/2006/main" count="150" uniqueCount="61">
  <si>
    <t>第一次實驗</t>
  </si>
  <si>
    <t>第二次實驗</t>
  </si>
  <si>
    <t>A：實驗數據</t>
  </si>
  <si>
    <t>光具座與固定架
距離L (mm)</t>
  </si>
  <si>
    <t>單狹縫寬度a (mm)</t>
  </si>
  <si>
    <t>雙狹縫相距d (mm)</t>
  </si>
  <si>
    <r>
      <rPr>
        <rFont val="DFKai-SB"/>
        <color theme="1"/>
        <sz val="12.0"/>
      </rPr>
      <t>雷射二極體組
波長</t>
    </r>
    <r>
      <rPr>
        <rFont val="Calibri"/>
        <color theme="1"/>
        <sz val="12.0"/>
      </rPr>
      <t>λ</t>
    </r>
    <r>
      <rPr>
        <rFont val="Arial"/>
        <color theme="1"/>
        <sz val="12.0"/>
      </rPr>
      <t xml:space="preserve"> (mm)</t>
    </r>
  </si>
  <si>
    <r>
      <rPr>
        <rFont val="DFKai-SB"/>
        <color theme="1"/>
        <sz val="12.0"/>
      </rPr>
      <t>雷射二極體組
波長</t>
    </r>
    <r>
      <rPr>
        <rFont val="Calibri"/>
        <color theme="1"/>
        <sz val="12.0"/>
      </rPr>
      <t>λ</t>
    </r>
    <r>
      <rPr>
        <rFont val="標楷體"/>
        <color theme="1"/>
        <sz val="12.0"/>
      </rPr>
      <t xml:space="preserve"> (mm)</t>
    </r>
  </si>
  <si>
    <t>位置(mm)</t>
  </si>
  <si>
    <t>電壓(mV)</t>
  </si>
  <si>
    <r>
      <rPr>
        <rFont val="DFKai-SB"/>
        <b/>
        <color theme="1"/>
        <sz val="12.0"/>
      </rPr>
      <t>B：尋找X</t>
    </r>
    <r>
      <rPr>
        <rFont val="Arial"/>
        <b/>
        <color theme="1"/>
        <sz val="12.0"/>
      </rPr>
      <t>1、Xr</t>
    </r>
  </si>
  <si>
    <r>
      <rPr>
        <rFont val="DFKai-SB"/>
        <b/>
        <color theme="1"/>
        <sz val="12.0"/>
      </rPr>
      <t>B：尋找X</t>
    </r>
    <r>
      <rPr>
        <rFont val="標楷體"/>
        <b/>
        <color theme="1"/>
        <sz val="12.0"/>
        <vertAlign val="subscript"/>
      </rPr>
      <t>1</t>
    </r>
    <r>
      <rPr>
        <rFont val="標楷體"/>
        <b/>
        <color theme="1"/>
        <sz val="12.0"/>
      </rPr>
      <t>、X</t>
    </r>
    <r>
      <rPr>
        <rFont val="標楷體"/>
        <b/>
        <color theme="1"/>
        <sz val="12.0"/>
        <vertAlign val="subscript"/>
      </rPr>
      <t>r</t>
    </r>
  </si>
  <si>
    <t>第一亮紋</t>
  </si>
  <si>
    <t>第二亮紋</t>
  </si>
  <si>
    <t>第三亮紋</t>
  </si>
  <si>
    <t>第四亮紋</t>
  </si>
  <si>
    <t>第五亮紋</t>
  </si>
  <si>
    <t>第一暗紋</t>
  </si>
  <si>
    <r>
      <rPr>
        <rFont val="DFKai-SB"/>
        <color theme="1"/>
        <sz val="12.0"/>
      </rPr>
      <t>X</t>
    </r>
    <r>
      <rPr>
        <rFont val="Arial"/>
        <color theme="1"/>
        <sz val="12.0"/>
      </rPr>
      <t>l (mm)</t>
    </r>
  </si>
  <si>
    <r>
      <rPr>
        <rFont val="DFKai-SB"/>
        <color theme="1"/>
        <sz val="12.0"/>
      </rPr>
      <t>X</t>
    </r>
    <r>
      <rPr>
        <rFont val="標楷體"/>
        <color theme="1"/>
        <sz val="12.0"/>
        <vertAlign val="subscript"/>
      </rPr>
      <t>l</t>
    </r>
    <r>
      <rPr>
        <rFont val="標楷體"/>
        <color theme="1"/>
        <sz val="12.0"/>
      </rPr>
      <t xml:space="preserve"> (mm)</t>
    </r>
  </si>
  <si>
    <r>
      <rPr>
        <rFont val="DFKai-SB"/>
        <color theme="1"/>
        <sz val="12.0"/>
      </rPr>
      <t>X</t>
    </r>
    <r>
      <rPr>
        <rFont val="標楷體"/>
        <color theme="1"/>
        <sz val="12.0"/>
        <vertAlign val="subscript"/>
      </rPr>
      <t>r</t>
    </r>
    <r>
      <rPr>
        <rFont val="標楷體"/>
        <color theme="1"/>
        <sz val="12.0"/>
      </rPr>
      <t xml:space="preserve"> (mm)</t>
    </r>
  </si>
  <si>
    <r>
      <rPr>
        <rFont val="DFKai-SB"/>
        <color theme="1"/>
        <sz val="12.0"/>
      </rPr>
      <t>X</t>
    </r>
    <r>
      <rPr>
        <rFont val="標楷體"/>
        <color theme="1"/>
        <sz val="12.0"/>
        <vertAlign val="subscript"/>
      </rPr>
      <t>r</t>
    </r>
    <r>
      <rPr>
        <rFont val="標楷體"/>
        <color theme="1"/>
        <sz val="12.0"/>
      </rPr>
      <t xml:space="preserve"> (mm)</t>
    </r>
  </si>
  <si>
    <t>Θ</t>
  </si>
  <si>
    <r>
      <rPr>
        <rFont val="DFKai-SB"/>
        <b/>
        <color theme="1"/>
        <sz val="12.0"/>
      </rPr>
      <t>B：尋找X</t>
    </r>
    <r>
      <rPr>
        <rFont val="標楷體"/>
        <b/>
        <color theme="1"/>
        <sz val="12.0"/>
        <vertAlign val="subscript"/>
      </rPr>
      <t>1</t>
    </r>
    <r>
      <rPr>
        <rFont val="標楷體"/>
        <b/>
        <color theme="1"/>
        <sz val="12.0"/>
      </rPr>
      <t>、X</t>
    </r>
    <r>
      <rPr>
        <rFont val="標楷體"/>
        <b/>
        <color theme="1"/>
        <sz val="12.0"/>
        <vertAlign val="subscript"/>
      </rPr>
      <t>r</t>
    </r>
    <r>
      <rPr>
        <rFont val="標楷體"/>
        <b/>
        <color theme="1"/>
        <sz val="12.0"/>
      </rPr>
      <t>(理論值)</t>
    </r>
  </si>
  <si>
    <r>
      <rPr>
        <rFont val="DFKai-SB"/>
        <b/>
        <color theme="1"/>
        <sz val="12.0"/>
      </rPr>
      <t>B：尋找X</t>
    </r>
    <r>
      <rPr>
        <rFont val="標楷體"/>
        <b/>
        <color theme="1"/>
        <sz val="12.0"/>
        <vertAlign val="subscript"/>
      </rPr>
      <t>1</t>
    </r>
    <r>
      <rPr>
        <rFont val="標楷體"/>
        <b/>
        <color theme="1"/>
        <sz val="12.0"/>
      </rPr>
      <t>、X</t>
    </r>
    <r>
      <rPr>
        <rFont val="標楷體"/>
        <b/>
        <color theme="1"/>
        <sz val="12.0"/>
        <vertAlign val="subscript"/>
      </rPr>
      <t>r</t>
    </r>
    <r>
      <rPr>
        <rFont val="標楷體"/>
        <b/>
        <color theme="1"/>
        <sz val="12.0"/>
      </rPr>
      <t>(理論值)</t>
    </r>
  </si>
  <si>
    <r>
      <rPr>
        <rFont val="DFKai-SB"/>
        <color theme="1"/>
        <sz val="12.0"/>
      </rPr>
      <t>X</t>
    </r>
    <r>
      <rPr>
        <rFont val="標楷體"/>
        <color theme="1"/>
        <sz val="12.0"/>
        <vertAlign val="subscript"/>
      </rPr>
      <t>l</t>
    </r>
    <r>
      <rPr>
        <rFont val="標楷體"/>
        <color theme="1"/>
        <sz val="12.0"/>
      </rPr>
      <t xml:space="preserve"> (mm)</t>
    </r>
  </si>
  <si>
    <r>
      <rPr>
        <rFont val="DFKai-SB"/>
        <color theme="1"/>
        <sz val="12.0"/>
      </rPr>
      <t>X</t>
    </r>
    <r>
      <rPr>
        <rFont val="標楷體"/>
        <color theme="1"/>
        <sz val="12.0"/>
        <vertAlign val="subscript"/>
      </rPr>
      <t>l</t>
    </r>
    <r>
      <rPr>
        <rFont val="標楷體"/>
        <color theme="1"/>
        <sz val="12.0"/>
      </rPr>
      <t xml:space="preserve"> (mm)</t>
    </r>
  </si>
  <si>
    <r>
      <rPr>
        <rFont val="DFKai-SB"/>
        <color theme="1"/>
        <sz val="12.0"/>
      </rPr>
      <t>X</t>
    </r>
    <r>
      <rPr>
        <rFont val="標楷體"/>
        <color theme="1"/>
        <sz val="12.0"/>
        <vertAlign val="subscript"/>
      </rPr>
      <t>r</t>
    </r>
    <r>
      <rPr>
        <rFont val="標楷體"/>
        <color theme="1"/>
        <sz val="12.0"/>
      </rPr>
      <t xml:space="preserve"> (mm)</t>
    </r>
  </si>
  <si>
    <r>
      <rPr>
        <rFont val="DFKai-SB"/>
        <color theme="1"/>
        <sz val="12.0"/>
      </rPr>
      <t>X</t>
    </r>
    <r>
      <rPr>
        <rFont val="標楷體"/>
        <color theme="1"/>
        <sz val="12.0"/>
        <vertAlign val="subscript"/>
      </rPr>
      <t>r</t>
    </r>
    <r>
      <rPr>
        <rFont val="標楷體"/>
        <color theme="1"/>
        <sz val="12.0"/>
      </rPr>
      <t xml:space="preserve"> (mm)</t>
    </r>
  </si>
  <si>
    <t>C：計算出單狹縫寬度a及雙狹縫距離d之值</t>
  </si>
  <si>
    <t>理論值</t>
  </si>
  <si>
    <t>實驗值</t>
  </si>
  <si>
    <t>百分誤差 (%)</t>
  </si>
  <si>
    <r>
      <rPr>
        <rFont val="DFKai-SB"/>
        <color theme="1"/>
        <sz val="12.0"/>
      </rPr>
      <t>X</t>
    </r>
    <r>
      <rPr>
        <rFont val="標楷體"/>
        <color theme="1"/>
        <sz val="12.0"/>
        <vertAlign val="subscript"/>
      </rPr>
      <t>l</t>
    </r>
  </si>
  <si>
    <r>
      <rPr>
        <rFont val="DFKai-SB"/>
        <color theme="1"/>
        <sz val="12.0"/>
      </rPr>
      <t>X</t>
    </r>
    <r>
      <rPr>
        <rFont val="標楷體"/>
        <color theme="1"/>
        <sz val="12.0"/>
        <vertAlign val="subscript"/>
      </rPr>
      <t>l</t>
    </r>
  </si>
  <si>
    <r>
      <rPr>
        <rFont val="DFKai-SB"/>
        <color theme="1"/>
        <sz val="12.0"/>
      </rPr>
      <t>X</t>
    </r>
    <r>
      <rPr>
        <rFont val="標楷體"/>
        <color theme="1"/>
        <sz val="12.0"/>
        <vertAlign val="subscript"/>
      </rPr>
      <t>r</t>
    </r>
  </si>
  <si>
    <r>
      <rPr>
        <rFont val="DFKai-SB"/>
        <color theme="1"/>
        <sz val="12.0"/>
      </rPr>
      <t>X</t>
    </r>
    <r>
      <rPr>
        <rFont val="標楷體"/>
        <color theme="1"/>
        <sz val="12.0"/>
        <vertAlign val="subscript"/>
      </rPr>
      <t>r</t>
    </r>
  </si>
  <si>
    <t>平均</t>
  </si>
  <si>
    <t>雙狹縫距離d (mm)</t>
  </si>
  <si>
    <r>
      <rPr>
        <rFont val="DFKai-SB"/>
        <color theme="1"/>
        <sz val="12.0"/>
      </rPr>
      <t>X</t>
    </r>
    <r>
      <rPr>
        <rFont val="標楷體"/>
        <color theme="1"/>
        <sz val="12.0"/>
        <vertAlign val="subscript"/>
      </rPr>
      <t>l</t>
    </r>
  </si>
  <si>
    <r>
      <rPr>
        <rFont val="DFKai-SB"/>
        <color theme="1"/>
        <sz val="12.0"/>
      </rPr>
      <t>X</t>
    </r>
    <r>
      <rPr>
        <rFont val="標楷體"/>
        <color theme="1"/>
        <sz val="12.0"/>
        <vertAlign val="subscript"/>
      </rPr>
      <t>l</t>
    </r>
  </si>
  <si>
    <r>
      <rPr>
        <rFont val="DFKai-SB"/>
        <color theme="1"/>
        <sz val="12.0"/>
      </rPr>
      <t>X</t>
    </r>
    <r>
      <rPr>
        <rFont val="標楷體"/>
        <color theme="1"/>
        <sz val="12.0"/>
        <vertAlign val="subscript"/>
      </rPr>
      <t>r</t>
    </r>
  </si>
  <si>
    <r>
      <rPr>
        <rFont val="DFKai-SB"/>
        <color theme="1"/>
        <sz val="12.0"/>
      </rPr>
      <t>X</t>
    </r>
    <r>
      <rPr>
        <rFont val="標楷體"/>
        <color theme="1"/>
        <sz val="12.0"/>
        <vertAlign val="subscript"/>
      </rPr>
      <t>r</t>
    </r>
  </si>
  <si>
    <t>D：計算亮紋強度的比例</t>
  </si>
  <si>
    <t>中央亮線</t>
  </si>
  <si>
    <t>第一亮線(左)</t>
  </si>
  <si>
    <t>第一亮線
(右)</t>
  </si>
  <si>
    <t>第二亮線
(左)</t>
  </si>
  <si>
    <t>第二亮線
(右)</t>
  </si>
  <si>
    <t>第一亮線
(左)</t>
  </si>
  <si>
    <t>亮度值
(mV)</t>
  </si>
  <si>
    <t>誤差(%)</t>
  </si>
  <si>
    <t>第一亮紋極大之強度與
中央亮紋強度的比例</t>
  </si>
  <si>
    <t>第二亮紋極大之強度與
中央亮紋強度的比例</t>
  </si>
  <si>
    <t>第一亮線</t>
  </si>
  <si>
    <t>第二亮線</t>
  </si>
  <si>
    <t>平均值</t>
  </si>
  <si>
    <r>
      <rPr>
        <rFont val="DFKai-SB"/>
        <color theme="1"/>
        <sz val="12.0"/>
      </rPr>
      <t>X</t>
    </r>
    <r>
      <rPr>
        <rFont val="標楷體"/>
        <color theme="1"/>
        <sz val="12.0"/>
        <vertAlign val="subscript"/>
      </rPr>
      <t>l</t>
    </r>
  </si>
  <si>
    <r>
      <rPr>
        <rFont val="DFKai-SB"/>
        <color theme="1"/>
        <sz val="12.0"/>
      </rPr>
      <t>X</t>
    </r>
    <r>
      <rPr>
        <rFont val="標楷體"/>
        <color theme="1"/>
        <sz val="12.0"/>
        <vertAlign val="subscript"/>
      </rPr>
      <t>l</t>
    </r>
  </si>
  <si>
    <r>
      <rPr>
        <rFont val="DFKai-SB"/>
        <color theme="1"/>
        <sz val="12.0"/>
      </rPr>
      <t>X</t>
    </r>
    <r>
      <rPr>
        <rFont val="標楷體"/>
        <color theme="1"/>
        <sz val="12.0"/>
        <vertAlign val="subscript"/>
      </rPr>
      <t>r</t>
    </r>
  </si>
  <si>
    <r>
      <rPr>
        <rFont val="DFKai-SB"/>
        <color theme="1"/>
        <sz val="12.0"/>
      </rPr>
      <t>X</t>
    </r>
    <r>
      <rPr>
        <rFont val="標楷體"/>
        <color theme="1"/>
        <sz val="12.0"/>
        <vertAlign val="subscript"/>
      </rPr>
      <t>r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</si>
</sst>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"/>
    <numFmt numFmtId="165" formatCode="0.0_ "/>
    <numFmt numFmtId="166" formatCode="0.0000"/>
    <numFmt numFmtId="167" formatCode="0.000"/>
    <numFmt numFmtId="168" formatCode="0.00_ "/>
  </numFmts>
  <fonts count="5">
    <font>
      <sz val="12.0"/>
      <color theme="1"/>
      <name val="Aptos Narrow"/>
      <scheme val="minor"/>
    </font>
    <font>
      <sz val="12.0"/>
      <color theme="1"/>
      <name val="DFKai-SB"/>
    </font>
    <font>
      <b/>
      <sz val="12.0"/>
      <color theme="1"/>
      <name val="DFKai-SB"/>
    </font>
    <font/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F2D0"/>
        <bgColor rgb="FFD9F2D0"/>
      </patternFill>
    </fill>
  </fills>
  <borders count="66">
    <border/>
    <border>
      <left style="thick">
        <color rgb="FF000000"/>
      </lef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n">
        <color rgb="FF000000"/>
      </right>
      <top style="thick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medium">
        <color rgb="FF000000"/>
      </bottom>
    </border>
    <border>
      <left style="thin">
        <color rgb="FF000000"/>
      </left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ck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ck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bottom style="thick">
        <color rgb="FF000000"/>
      </bottom>
    </border>
    <border>
      <top style="thick">
        <color rgb="FF000000"/>
      </top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vertical="center"/>
    </xf>
    <xf borderId="1" fillId="0" fontId="1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vertical="center"/>
    </xf>
    <xf borderId="3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vertical="center"/>
    </xf>
    <xf borderId="5" fillId="0" fontId="3" numFmtId="0" xfId="0" applyAlignment="1" applyBorder="1" applyFont="1">
      <alignment vertical="center"/>
    </xf>
    <xf borderId="6" fillId="0" fontId="3" numFmtId="0" xfId="0" applyAlignment="1" applyBorder="1" applyFont="1">
      <alignment vertical="center"/>
    </xf>
    <xf borderId="7" fillId="0" fontId="3" numFmtId="0" xfId="0" applyAlignment="1" applyBorder="1" applyFont="1">
      <alignment vertical="center"/>
    </xf>
    <xf borderId="8" fillId="0" fontId="3" numFmtId="0" xfId="0" applyAlignment="1" applyBorder="1" applyFont="1">
      <alignment vertical="center"/>
    </xf>
    <xf borderId="9" fillId="0" fontId="1" numFmtId="0" xfId="0" applyAlignment="1" applyBorder="1" applyFont="1">
      <alignment horizontal="center" vertical="center"/>
    </xf>
    <xf borderId="10" fillId="0" fontId="3" numFmtId="0" xfId="0" applyAlignment="1" applyBorder="1" applyFont="1">
      <alignment vertical="center"/>
    </xf>
    <xf borderId="11" fillId="2" fontId="1" numFmtId="0" xfId="0" applyAlignment="1" applyBorder="1" applyFill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2" fillId="0" fontId="3" numFmtId="0" xfId="0" applyAlignment="1" applyBorder="1" applyFont="1">
      <alignment vertical="center"/>
    </xf>
    <xf borderId="13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  <xf borderId="16" fillId="0" fontId="1" numFmtId="164" xfId="0" applyAlignment="1" applyBorder="1" applyFont="1" applyNumberFormat="1">
      <alignment horizontal="center" vertical="center"/>
    </xf>
    <xf borderId="17" fillId="2" fontId="1" numFmtId="164" xfId="0" applyAlignment="1" applyBorder="1" applyFont="1" applyNumberFormat="1">
      <alignment horizontal="center" vertical="center"/>
    </xf>
    <xf borderId="17" fillId="0" fontId="1" numFmtId="164" xfId="0" applyAlignment="1" applyBorder="1" applyFont="1" applyNumberFormat="1">
      <alignment horizontal="center" vertical="center"/>
    </xf>
    <xf borderId="17" fillId="0" fontId="1" numFmtId="0" xfId="0" applyAlignment="1" applyBorder="1" applyFont="1">
      <alignment horizontal="center" vertical="center"/>
    </xf>
    <xf borderId="18" fillId="2" fontId="1" numFmtId="164" xfId="0" applyAlignment="1" applyBorder="1" applyFont="1" applyNumberFormat="1">
      <alignment horizontal="center" vertical="center"/>
    </xf>
    <xf borderId="9" fillId="0" fontId="1" numFmtId="165" xfId="0" applyAlignment="1" applyBorder="1" applyFont="1" applyNumberFormat="1">
      <alignment horizontal="center" vertical="center"/>
    </xf>
    <xf borderId="19" fillId="0" fontId="3" numFmtId="0" xfId="0" applyAlignment="1" applyBorder="1" applyFont="1">
      <alignment vertical="center"/>
    </xf>
    <xf borderId="20" fillId="0" fontId="1" numFmtId="164" xfId="0" applyAlignment="1" applyBorder="1" applyFont="1" applyNumberFormat="1">
      <alignment horizontal="center" vertical="center"/>
    </xf>
    <xf borderId="21" fillId="2" fontId="1" numFmtId="164" xfId="0" applyAlignment="1" applyBorder="1" applyFont="1" applyNumberForma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0" fillId="0" fontId="2" numFmtId="0" xfId="0" applyAlignment="1" applyFont="1">
      <alignment horizontal="left" readingOrder="0" vertical="center"/>
    </xf>
    <xf borderId="22" fillId="0" fontId="1" numFmtId="165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24" fillId="0" fontId="1" numFmtId="0" xfId="0" applyAlignment="1" applyBorder="1" applyFont="1">
      <alignment horizontal="center" vertical="center"/>
    </xf>
    <xf borderId="16" fillId="0" fontId="1" numFmtId="165" xfId="0" applyAlignment="1" applyBorder="1" applyFont="1" applyNumberFormat="1">
      <alignment horizontal="center" readingOrder="0" vertical="center"/>
    </xf>
    <xf borderId="16" fillId="0" fontId="1" numFmtId="165" xfId="0" applyAlignment="1" applyBorder="1" applyFont="1" applyNumberFormat="1">
      <alignment horizontal="center" vertical="center"/>
    </xf>
    <xf borderId="25" fillId="0" fontId="4" numFmtId="165" xfId="0" applyAlignment="1" applyBorder="1" applyFont="1" applyNumberFormat="1">
      <alignment horizontal="center" vertical="center"/>
    </xf>
    <xf borderId="20" fillId="0" fontId="1" numFmtId="166" xfId="0" applyAlignment="1" applyBorder="1" applyFont="1" applyNumberFormat="1">
      <alignment horizontal="center" vertical="center"/>
    </xf>
    <xf borderId="21" fillId="0" fontId="1" numFmtId="166" xfId="0" applyAlignment="1" applyBorder="1" applyFont="1" applyNumberFormat="1">
      <alignment horizontal="center" vertical="center"/>
    </xf>
    <xf borderId="18" fillId="0" fontId="1" numFmtId="164" xfId="0" applyAlignment="1" applyBorder="1" applyFont="1" applyNumberFormat="1">
      <alignment horizontal="center" vertical="center"/>
    </xf>
    <xf borderId="0" fillId="0" fontId="2" numFmtId="165" xfId="0" applyAlignment="1" applyFont="1" applyNumberFormat="1">
      <alignment horizontal="left" vertical="center"/>
    </xf>
    <xf borderId="26" fillId="0" fontId="1" numFmtId="0" xfId="0" applyAlignment="1" applyBorder="1" applyFont="1">
      <alignment horizontal="center" vertical="center"/>
    </xf>
    <xf borderId="27" fillId="0" fontId="3" numFmtId="0" xfId="0" applyAlignment="1" applyBorder="1" applyFont="1">
      <alignment vertical="center"/>
    </xf>
    <xf borderId="28" fillId="0" fontId="3" numFmtId="0" xfId="0" applyAlignment="1" applyBorder="1" applyFont="1">
      <alignment vertical="center"/>
    </xf>
    <xf borderId="29" fillId="0" fontId="1" numFmtId="0" xfId="0" applyAlignment="1" applyBorder="1" applyFont="1">
      <alignment horizontal="center" vertical="center"/>
    </xf>
    <xf borderId="30" fillId="0" fontId="1" numFmtId="0" xfId="0" applyAlignment="1" applyBorder="1" applyFont="1">
      <alignment horizontal="center" vertical="center"/>
    </xf>
    <xf borderId="31" fillId="0" fontId="3" numFmtId="0" xfId="0" applyAlignment="1" applyBorder="1" applyFont="1">
      <alignment vertical="center"/>
    </xf>
    <xf borderId="32" fillId="0" fontId="1" numFmtId="165" xfId="0" applyAlignment="1" applyBorder="1" applyFont="1" applyNumberFormat="1">
      <alignment horizontal="center" vertical="center"/>
    </xf>
    <xf borderId="33" fillId="0" fontId="3" numFmtId="0" xfId="0" applyAlignment="1" applyBorder="1" applyFont="1">
      <alignment vertical="center"/>
    </xf>
    <xf borderId="34" fillId="0" fontId="1" numFmtId="0" xfId="0" applyAlignment="1" applyBorder="1" applyFont="1">
      <alignment horizontal="center" vertical="center"/>
    </xf>
    <xf borderId="14" fillId="0" fontId="1" numFmtId="167" xfId="0" applyAlignment="1" applyBorder="1" applyFont="1" applyNumberFormat="1">
      <alignment horizontal="center" vertical="center"/>
    </xf>
    <xf borderId="35" fillId="0" fontId="1" numFmtId="168" xfId="0" applyAlignment="1" applyBorder="1" applyFont="1" applyNumberFormat="1">
      <alignment horizontal="center" vertical="center"/>
    </xf>
    <xf borderId="36" fillId="0" fontId="3" numFmtId="0" xfId="0" applyAlignment="1" applyBorder="1" applyFont="1">
      <alignment vertical="center"/>
    </xf>
    <xf borderId="32" fillId="0" fontId="3" numFmtId="0" xfId="0" applyAlignment="1" applyBorder="1" applyFont="1">
      <alignment vertical="center"/>
    </xf>
    <xf borderId="34" fillId="0" fontId="3" numFmtId="0" xfId="0" applyAlignment="1" applyBorder="1" applyFont="1">
      <alignment vertical="center"/>
    </xf>
    <xf borderId="37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vertical="center"/>
    </xf>
    <xf borderId="37" fillId="0" fontId="1" numFmtId="167" xfId="0" applyAlignment="1" applyBorder="1" applyFont="1" applyNumberFormat="1">
      <alignment horizontal="center" vertical="center"/>
    </xf>
    <xf borderId="38" fillId="0" fontId="1" numFmtId="168" xfId="0" applyAlignment="1" applyBorder="1" applyFont="1" applyNumberFormat="1">
      <alignment horizontal="center" vertical="center"/>
    </xf>
    <xf borderId="39" fillId="0" fontId="3" numFmtId="0" xfId="0" applyAlignment="1" applyBorder="1" applyFont="1">
      <alignment vertical="center"/>
    </xf>
    <xf borderId="40" fillId="0" fontId="1" numFmtId="165" xfId="0" applyAlignment="1" applyBorder="1" applyFont="1" applyNumberFormat="1">
      <alignment horizontal="center" vertical="center"/>
    </xf>
    <xf borderId="41" fillId="0" fontId="3" numFmtId="0" xfId="0" applyAlignment="1" applyBorder="1" applyFont="1">
      <alignment vertical="center"/>
    </xf>
    <xf borderId="42" fillId="0" fontId="1" numFmtId="0" xfId="0" applyAlignment="1" applyBorder="1" applyFont="1">
      <alignment horizontal="center" vertical="center"/>
    </xf>
    <xf borderId="43" fillId="0" fontId="1" numFmtId="0" xfId="0" applyAlignment="1" applyBorder="1" applyFont="1">
      <alignment horizontal="center" vertical="center"/>
    </xf>
    <xf borderId="42" fillId="0" fontId="1" numFmtId="167" xfId="0" applyAlignment="1" applyBorder="1" applyFont="1" applyNumberFormat="1">
      <alignment horizontal="center" vertical="center"/>
    </xf>
    <xf borderId="7" fillId="0" fontId="1" numFmtId="168" xfId="0" applyAlignment="1" applyBorder="1" applyFont="1" applyNumberFormat="1">
      <alignment horizontal="center" vertical="center"/>
    </xf>
    <xf borderId="17" fillId="0" fontId="1" numFmtId="167" xfId="0" applyAlignment="1" applyBorder="1" applyFont="1" applyNumberFormat="1">
      <alignment horizontal="center" vertical="center"/>
    </xf>
    <xf borderId="44" fillId="0" fontId="3" numFmtId="0" xfId="0" applyAlignment="1" applyBorder="1" applyFont="1">
      <alignment vertical="center"/>
    </xf>
    <xf borderId="45" fillId="0" fontId="3" numFmtId="0" xfId="0" applyAlignment="1" applyBorder="1" applyFont="1">
      <alignment vertical="center"/>
    </xf>
    <xf borderId="20" fillId="0" fontId="1" numFmtId="0" xfId="0" applyAlignment="1" applyBorder="1" applyFont="1">
      <alignment horizontal="center" vertical="center"/>
    </xf>
    <xf borderId="46" fillId="0" fontId="3" numFmtId="0" xfId="0" applyAlignment="1" applyBorder="1" applyFont="1">
      <alignment vertical="center"/>
    </xf>
    <xf borderId="20" fillId="0" fontId="1" numFmtId="167" xfId="0" applyAlignment="1" applyBorder="1" applyFont="1" applyNumberFormat="1">
      <alignment horizontal="center" vertical="center"/>
    </xf>
    <xf borderId="11" fillId="0" fontId="1" numFmtId="168" xfId="0" applyAlignment="1" applyBorder="1" applyFont="1" applyNumberFormat="1">
      <alignment horizontal="center" vertical="center"/>
    </xf>
    <xf borderId="47" fillId="0" fontId="1" numFmtId="165" xfId="0" applyAlignment="1" applyBorder="1" applyFont="1" applyNumberFormat="1">
      <alignment horizontal="center" vertical="center"/>
    </xf>
    <xf borderId="48" fillId="0" fontId="1" numFmtId="0" xfId="0" applyAlignment="1" applyBorder="1" applyFont="1">
      <alignment horizontal="center" vertical="center"/>
    </xf>
    <xf borderId="48" fillId="0" fontId="1" numFmtId="0" xfId="0" applyAlignment="1" applyBorder="1" applyFont="1">
      <alignment horizontal="center" shrinkToFit="0" vertical="center" wrapText="1"/>
    </xf>
    <xf borderId="49" fillId="0" fontId="1" numFmtId="0" xfId="0" applyAlignment="1" applyBorder="1" applyFont="1">
      <alignment horizontal="center" shrinkToFit="0" vertical="center" wrapText="1"/>
    </xf>
    <xf borderId="13" fillId="0" fontId="3" numFmtId="0" xfId="0" applyAlignment="1" applyBorder="1" applyFont="1">
      <alignment vertical="center"/>
    </xf>
    <xf borderId="15" fillId="0" fontId="3" numFmtId="0" xfId="0" applyAlignment="1" applyBorder="1" applyFont="1">
      <alignment vertical="center"/>
    </xf>
    <xf borderId="50" fillId="0" fontId="1" numFmtId="165" xfId="0" applyAlignment="1" applyBorder="1" applyFont="1" applyNumberFormat="1">
      <alignment horizontal="center" shrinkToFit="0" vertical="center" wrapText="1"/>
    </xf>
    <xf borderId="37" fillId="2" fontId="1" numFmtId="164" xfId="0" applyAlignment="1" applyBorder="1" applyFont="1" applyNumberFormat="1">
      <alignment horizontal="center" vertical="center"/>
    </xf>
    <xf borderId="51" fillId="2" fontId="1" numFmtId="164" xfId="0" applyAlignment="1" applyBorder="1" applyFont="1" applyNumberFormat="1">
      <alignment horizontal="center" vertical="center"/>
    </xf>
    <xf borderId="52" fillId="0" fontId="3" numFmtId="0" xfId="0" applyAlignment="1" applyBorder="1" applyFont="1">
      <alignment vertical="center"/>
    </xf>
    <xf borderId="53" fillId="0" fontId="3" numFmtId="0" xfId="0" applyAlignment="1" applyBorder="1" applyFont="1">
      <alignment vertical="center"/>
    </xf>
    <xf borderId="54" fillId="0" fontId="1" numFmtId="165" xfId="0" applyAlignment="1" applyBorder="1" applyFont="1" applyNumberFormat="1">
      <alignment horizontal="center" vertical="center"/>
    </xf>
    <xf borderId="55" fillId="0" fontId="3" numFmtId="0" xfId="0" applyAlignment="1" applyBorder="1" applyFont="1">
      <alignment vertical="center"/>
    </xf>
    <xf borderId="56" fillId="0" fontId="3" numFmtId="0" xfId="0" applyAlignment="1" applyBorder="1" applyFont="1">
      <alignment vertical="center"/>
    </xf>
    <xf borderId="57" fillId="0" fontId="1" numFmtId="165" xfId="0" applyAlignment="1" applyBorder="1" applyFont="1" applyNumberFormat="1">
      <alignment horizontal="center" shrinkToFit="0" vertical="center" wrapText="1"/>
    </xf>
    <xf borderId="58" fillId="0" fontId="3" numFmtId="0" xfId="0" applyAlignment="1" applyBorder="1" applyFont="1">
      <alignment vertical="center"/>
    </xf>
    <xf borderId="59" fillId="0" fontId="3" numFmtId="0" xfId="0" applyAlignment="1" applyBorder="1" applyFont="1">
      <alignment vertical="center"/>
    </xf>
    <xf borderId="37" fillId="0" fontId="1" numFmtId="166" xfId="0" applyAlignment="1" applyBorder="1" applyFont="1" applyNumberFormat="1">
      <alignment horizontal="center" vertical="center"/>
    </xf>
    <xf borderId="51" fillId="0" fontId="1" numFmtId="2" xfId="0" applyAlignment="1" applyBorder="1" applyFont="1" applyNumberFormat="1">
      <alignment horizontal="center" vertical="center"/>
    </xf>
    <xf borderId="60" fillId="0" fontId="3" numFmtId="0" xfId="0" applyAlignment="1" applyBorder="1" applyFont="1">
      <alignment vertical="center"/>
    </xf>
    <xf borderId="61" fillId="0" fontId="3" numFmtId="0" xfId="0" applyAlignment="1" applyBorder="1" applyFont="1">
      <alignment vertical="center"/>
    </xf>
    <xf borderId="62" fillId="0" fontId="1" numFmtId="0" xfId="0" applyAlignment="1" applyBorder="1" applyFont="1">
      <alignment horizontal="center" shrinkToFit="0" vertical="center" wrapText="1"/>
    </xf>
    <xf borderId="62" fillId="0" fontId="3" numFmtId="0" xfId="0" applyAlignment="1" applyBorder="1" applyFont="1">
      <alignment vertical="center"/>
    </xf>
    <xf borderId="62" fillId="0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54" fillId="0" fontId="1" numFmtId="0" xfId="0" applyAlignment="1" applyBorder="1" applyFont="1">
      <alignment horizontal="center" vertical="center"/>
    </xf>
    <xf borderId="63" fillId="0" fontId="1" numFmtId="0" xfId="0" applyAlignment="1" applyBorder="1" applyFont="1">
      <alignment horizontal="center" vertical="center"/>
    </xf>
    <xf borderId="64" fillId="0" fontId="3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57" fillId="0" fontId="1" numFmtId="165" xfId="0" applyAlignment="1" applyBorder="1" applyFont="1" applyNumberFormat="1">
      <alignment horizontal="center" vertical="center"/>
    </xf>
    <xf borderId="51" fillId="0" fontId="1" numFmtId="0" xfId="0" applyAlignment="1" applyBorder="1" applyFont="1">
      <alignment horizontal="center" vertical="center"/>
    </xf>
    <xf borderId="0" fillId="0" fontId="1" numFmtId="165" xfId="0" applyAlignment="1" applyFont="1" applyNumberFormat="1">
      <alignment vertical="center"/>
    </xf>
    <xf borderId="65" fillId="0" fontId="3" numFmtId="0" xfId="0" applyAlignment="1" applyBorder="1" applyFont="1">
      <alignment vertical="center"/>
    </xf>
    <xf borderId="21" fillId="0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電壓與位置的關係(第二次實驗)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電壓與位置的關係(第二次實驗)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'實驗數據'!$P$8:$P$57</c:f>
            </c:numRef>
          </c:xVal>
          <c:yVal>
            <c:numRef>
              <c:f>'實驗數據'!$R$8:$R$57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'實驗數據'!$P$8:$P$57</c:f>
            </c:numRef>
          </c:xVal>
          <c:yVal>
            <c:numRef>
              <c:f>'實驗數據'!$T$8:$T$57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'實驗數據'!$P$8:$P$57</c:f>
            </c:numRef>
          </c:xVal>
          <c:yVal>
            <c:numRef>
              <c:f>'實驗數據'!$V$8:$V$58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2872567"/>
        <c:axId val="1299965663"/>
      </c:scatterChart>
      <c:valAx>
        <c:axId val="1772872567"/>
        <c:scaling>
          <c:orientation val="minMax"/>
          <c:max val="2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位置(mm)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99965663"/>
      </c:valAx>
      <c:valAx>
        <c:axId val="12999656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電壓(mV)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72872567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電壓與位置的關係(第一次實驗)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電壓與位置的關係(第一次實驗)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'實驗數據'!$G$8:$G$57</c:f>
            </c:numRef>
          </c:xVal>
          <c:yVal>
            <c:numRef>
              <c:f>'實驗數據'!$I$8:$I$57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'實驗數據'!$G$8:$G$57</c:f>
            </c:numRef>
          </c:xVal>
          <c:yVal>
            <c:numRef>
              <c:f>'實驗數據'!$K$8:$K$57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'實驗數據'!$G$8:$G$57</c:f>
            </c:numRef>
          </c:xVal>
          <c:yVal>
            <c:numRef>
              <c:f>'實驗數據'!$M$8:$M$58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4022952"/>
        <c:axId val="1069082700"/>
      </c:scatterChart>
      <c:valAx>
        <c:axId val="294022952"/>
        <c:scaling>
          <c:orientation val="minMax"/>
          <c:max val="2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位置(mm)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69082700"/>
      </c:valAx>
      <c:valAx>
        <c:axId val="10690827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電壓(mV)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94022952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342900</xdr:colOff>
      <xdr:row>58</xdr:row>
      <xdr:rowOff>180975</xdr:rowOff>
    </xdr:from>
    <xdr:ext cx="4419600" cy="2657475"/>
    <xdr:graphicFrame>
      <xdr:nvGraphicFramePr>
        <xdr:cNvPr id="109619813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342900</xdr:colOff>
      <xdr:row>58</xdr:row>
      <xdr:rowOff>180975</xdr:rowOff>
    </xdr:from>
    <xdr:ext cx="4419600" cy="2657475"/>
    <xdr:graphicFrame>
      <xdr:nvGraphicFramePr>
        <xdr:cNvPr id="191945239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314325</xdr:colOff>
      <xdr:row>58</xdr:row>
      <xdr:rowOff>171450</xdr:rowOff>
    </xdr:from>
    <xdr:ext cx="723900" cy="647700"/>
    <xdr:sp>
      <xdr:nvSpPr>
        <xdr:cNvPr id="3" name="Shape 3"/>
        <xdr:cNvSpPr txBox="1"/>
      </xdr:nvSpPr>
      <xdr:spPr>
        <a:xfrm>
          <a:off x="4984050" y="3460913"/>
          <a:ext cx="723900" cy="63817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結報圖表記得要標亮紋位置</a:t>
          </a:r>
          <a:endParaRPr sz="1400"/>
        </a:p>
      </xdr:txBody>
    </xdr:sp>
    <xdr:clientData fLocksWithSheet="0"/>
  </xdr:oneCellAnchor>
  <xdr:oneCellAnchor>
    <xdr:from>
      <xdr:col>0</xdr:col>
      <xdr:colOff>152400</xdr:colOff>
      <xdr:row>58</xdr:row>
      <xdr:rowOff>76200</xdr:rowOff>
    </xdr:from>
    <xdr:ext cx="3638550" cy="284797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41" width="7.56"/>
  </cols>
  <sheetData>
    <row r="1" ht="18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8.0" customHeight="1">
      <c r="A2" s="1"/>
      <c r="B2" s="1"/>
      <c r="C2" s="1"/>
      <c r="D2" s="1"/>
      <c r="E2" s="1"/>
      <c r="F2" s="1"/>
      <c r="G2" s="2" t="s">
        <v>0</v>
      </c>
      <c r="H2" s="1"/>
      <c r="I2" s="1"/>
      <c r="J2" s="1"/>
      <c r="K2" s="1"/>
      <c r="L2" s="1"/>
      <c r="M2" s="1"/>
      <c r="N2" s="1"/>
      <c r="O2" s="1"/>
      <c r="P2" s="2" t="s">
        <v>1</v>
      </c>
      <c r="Q2" s="1"/>
      <c r="R2" s="1"/>
      <c r="S2" s="1"/>
      <c r="T2" s="1"/>
      <c r="U2" s="1"/>
      <c r="V2" s="1"/>
      <c r="W2" s="1"/>
      <c r="X2" s="1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ht="18.0" customHeight="1">
      <c r="A3" s="1"/>
      <c r="B3" s="1"/>
      <c r="C3" s="1"/>
      <c r="D3" s="1"/>
      <c r="E3" s="1"/>
      <c r="F3" s="1"/>
      <c r="G3" s="2" t="s">
        <v>2</v>
      </c>
      <c r="H3" s="1"/>
      <c r="I3" s="1"/>
      <c r="J3" s="1"/>
      <c r="K3" s="1"/>
      <c r="L3" s="1"/>
      <c r="M3" s="1"/>
      <c r="N3" s="1"/>
      <c r="O3" s="1"/>
      <c r="P3" s="2" t="s">
        <v>2</v>
      </c>
      <c r="Q3" s="1"/>
      <c r="R3" s="1"/>
      <c r="S3" s="1"/>
      <c r="T3" s="1"/>
      <c r="U3" s="1"/>
      <c r="V3" s="1"/>
      <c r="W3" s="1"/>
      <c r="X3" s="1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</row>
    <row r="4" ht="18.0" customHeight="1">
      <c r="A4" s="1"/>
      <c r="B4" s="1"/>
      <c r="C4" s="1"/>
      <c r="D4" s="1"/>
      <c r="E4" s="1"/>
      <c r="F4" s="1"/>
      <c r="G4" s="4" t="s">
        <v>3</v>
      </c>
      <c r="H4" s="5"/>
      <c r="I4" s="6" t="s">
        <v>4</v>
      </c>
      <c r="J4" s="5"/>
      <c r="K4" s="6" t="s">
        <v>5</v>
      </c>
      <c r="L4" s="5"/>
      <c r="M4" s="7" t="s">
        <v>6</v>
      </c>
      <c r="N4" s="8"/>
      <c r="O4" s="1"/>
      <c r="P4" s="4" t="s">
        <v>3</v>
      </c>
      <c r="Q4" s="5"/>
      <c r="R4" s="6" t="s">
        <v>4</v>
      </c>
      <c r="S4" s="5"/>
      <c r="T4" s="6" t="s">
        <v>5</v>
      </c>
      <c r="U4" s="5"/>
      <c r="V4" s="6" t="s">
        <v>7</v>
      </c>
      <c r="W4" s="8"/>
      <c r="X4" s="1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</row>
    <row r="5" ht="18.0" customHeight="1">
      <c r="A5" s="1"/>
      <c r="B5" s="1"/>
      <c r="C5" s="1"/>
      <c r="D5" s="1"/>
      <c r="E5" s="1"/>
      <c r="F5" s="1"/>
      <c r="G5" s="9"/>
      <c r="H5" s="10"/>
      <c r="I5" s="11"/>
      <c r="J5" s="10"/>
      <c r="K5" s="11"/>
      <c r="L5" s="10"/>
      <c r="M5" s="11"/>
      <c r="N5" s="12"/>
      <c r="O5" s="1"/>
      <c r="P5" s="9"/>
      <c r="Q5" s="10"/>
      <c r="R5" s="11"/>
      <c r="S5" s="10"/>
      <c r="T5" s="11"/>
      <c r="U5" s="10"/>
      <c r="V5" s="11"/>
      <c r="W5" s="12"/>
      <c r="X5" s="1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</row>
    <row r="6" ht="18.0" customHeight="1">
      <c r="A6" s="1"/>
      <c r="B6" s="1"/>
      <c r="C6" s="1"/>
      <c r="D6" s="1"/>
      <c r="E6" s="1"/>
      <c r="F6" s="1"/>
      <c r="G6" s="13">
        <v>500.0</v>
      </c>
      <c r="H6" s="14"/>
      <c r="I6" s="15"/>
      <c r="J6" s="14"/>
      <c r="K6" s="15"/>
      <c r="L6" s="14"/>
      <c r="M6" s="16">
        <v>6.35E-4</v>
      </c>
      <c r="N6" s="17"/>
      <c r="O6" s="1"/>
      <c r="P6" s="13">
        <v>500.0</v>
      </c>
      <c r="Q6" s="14"/>
      <c r="R6" s="15"/>
      <c r="S6" s="14"/>
      <c r="T6" s="15"/>
      <c r="U6" s="14"/>
      <c r="V6" s="16">
        <v>6.35E-4</v>
      </c>
      <c r="W6" s="17"/>
      <c r="X6" s="1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</row>
    <row r="7" ht="18.0" customHeight="1">
      <c r="A7" s="1"/>
      <c r="B7" s="1"/>
      <c r="C7" s="1"/>
      <c r="D7" s="1"/>
      <c r="E7" s="1"/>
      <c r="F7" s="1"/>
      <c r="G7" s="18" t="s">
        <v>8</v>
      </c>
      <c r="H7" s="19" t="s">
        <v>9</v>
      </c>
      <c r="I7" s="19" t="s">
        <v>8</v>
      </c>
      <c r="J7" s="19" t="s">
        <v>9</v>
      </c>
      <c r="K7" s="19" t="s">
        <v>8</v>
      </c>
      <c r="L7" s="19" t="s">
        <v>9</v>
      </c>
      <c r="M7" s="19" t="s">
        <v>8</v>
      </c>
      <c r="N7" s="20" t="s">
        <v>9</v>
      </c>
      <c r="O7" s="1"/>
      <c r="P7" s="18" t="s">
        <v>8</v>
      </c>
      <c r="Q7" s="19" t="s">
        <v>9</v>
      </c>
      <c r="R7" s="19" t="s">
        <v>8</v>
      </c>
      <c r="S7" s="19" t="s">
        <v>9</v>
      </c>
      <c r="T7" s="19" t="s">
        <v>8</v>
      </c>
      <c r="U7" s="19" t="s">
        <v>9</v>
      </c>
      <c r="V7" s="19" t="s">
        <v>8</v>
      </c>
      <c r="W7" s="20" t="s">
        <v>9</v>
      </c>
      <c r="X7" s="1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</row>
    <row r="8" ht="18.0" customHeight="1">
      <c r="A8" s="1"/>
      <c r="B8" s="1"/>
      <c r="C8" s="1"/>
      <c r="D8" s="1"/>
      <c r="E8" s="1"/>
      <c r="F8" s="1"/>
      <c r="G8" s="21">
        <v>-20.0</v>
      </c>
      <c r="H8" s="22"/>
      <c r="I8" s="23">
        <v>-10.0</v>
      </c>
      <c r="J8" s="22"/>
      <c r="K8" s="23">
        <v>0.0</v>
      </c>
      <c r="L8" s="22"/>
      <c r="M8" s="24">
        <v>10.0</v>
      </c>
      <c r="N8" s="25"/>
      <c r="O8" s="1"/>
      <c r="P8" s="21">
        <v>-20.0</v>
      </c>
      <c r="Q8" s="22"/>
      <c r="R8" s="23">
        <v>-10.0</v>
      </c>
      <c r="S8" s="22"/>
      <c r="T8" s="23">
        <v>0.0</v>
      </c>
      <c r="U8" s="22"/>
      <c r="V8" s="24">
        <v>10.0</v>
      </c>
      <c r="W8" s="25"/>
      <c r="X8" s="1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ht="18.0" customHeight="1">
      <c r="A9" s="1"/>
      <c r="B9" s="1"/>
      <c r="C9" s="1"/>
      <c r="D9" s="1"/>
      <c r="E9" s="1"/>
      <c r="F9" s="1"/>
      <c r="G9" s="21">
        <f t="shared" ref="G9:G57" si="1"> G8 + 0.2</f>
        <v>-19.8</v>
      </c>
      <c r="H9" s="22"/>
      <c r="I9" s="23">
        <f t="shared" ref="I9:I57" si="2"> I8 + 0.2</f>
        <v>-9.8</v>
      </c>
      <c r="J9" s="22"/>
      <c r="K9" s="23">
        <f t="shared" ref="K9:K57" si="3"> K8 + 0.2</f>
        <v>0.2</v>
      </c>
      <c r="L9" s="22"/>
      <c r="M9" s="23">
        <f t="shared" ref="M9:M58" si="4"> M8 + 0.2</f>
        <v>10.2</v>
      </c>
      <c r="N9" s="25"/>
      <c r="O9" s="1"/>
      <c r="P9" s="21">
        <f t="shared" ref="P9:P57" si="5"> P8 + 0.2</f>
        <v>-19.8</v>
      </c>
      <c r="Q9" s="22"/>
      <c r="R9" s="23">
        <f t="shared" ref="R9:R57" si="6"> R8 + 0.2</f>
        <v>-9.8</v>
      </c>
      <c r="S9" s="22"/>
      <c r="T9" s="23">
        <f t="shared" ref="T9:T57" si="7"> T8 + 0.2</f>
        <v>0.2</v>
      </c>
      <c r="U9" s="22"/>
      <c r="V9" s="23">
        <f t="shared" ref="V9:V58" si="8"> V8 + 0.2</f>
        <v>10.2</v>
      </c>
      <c r="W9" s="25"/>
      <c r="X9" s="1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</row>
    <row r="10" ht="18.0" customHeight="1">
      <c r="A10" s="1"/>
      <c r="B10" s="1"/>
      <c r="C10" s="1"/>
      <c r="D10" s="1"/>
      <c r="E10" s="1"/>
      <c r="F10" s="1"/>
      <c r="G10" s="21">
        <f t="shared" si="1"/>
        <v>-19.6</v>
      </c>
      <c r="H10" s="22"/>
      <c r="I10" s="23">
        <f t="shared" si="2"/>
        <v>-9.6</v>
      </c>
      <c r="J10" s="22"/>
      <c r="K10" s="23">
        <f t="shared" si="3"/>
        <v>0.4</v>
      </c>
      <c r="L10" s="22"/>
      <c r="M10" s="23">
        <f t="shared" si="4"/>
        <v>10.4</v>
      </c>
      <c r="N10" s="25"/>
      <c r="O10" s="1"/>
      <c r="P10" s="21">
        <f t="shared" si="5"/>
        <v>-19.6</v>
      </c>
      <c r="Q10" s="22"/>
      <c r="R10" s="23">
        <f t="shared" si="6"/>
        <v>-9.6</v>
      </c>
      <c r="S10" s="22"/>
      <c r="T10" s="23">
        <f t="shared" si="7"/>
        <v>0.4</v>
      </c>
      <c r="U10" s="22"/>
      <c r="V10" s="23">
        <f t="shared" si="8"/>
        <v>10.4</v>
      </c>
      <c r="W10" s="25"/>
      <c r="X10" s="1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</row>
    <row r="11" ht="18.0" customHeight="1">
      <c r="A11" s="1"/>
      <c r="B11" s="1"/>
      <c r="C11" s="1"/>
      <c r="D11" s="1"/>
      <c r="E11" s="1"/>
      <c r="F11" s="1"/>
      <c r="G11" s="21">
        <f t="shared" si="1"/>
        <v>-19.4</v>
      </c>
      <c r="H11" s="22"/>
      <c r="I11" s="23">
        <f t="shared" si="2"/>
        <v>-9.4</v>
      </c>
      <c r="J11" s="22"/>
      <c r="K11" s="23">
        <f t="shared" si="3"/>
        <v>0.6</v>
      </c>
      <c r="L11" s="22"/>
      <c r="M11" s="23">
        <f t="shared" si="4"/>
        <v>10.6</v>
      </c>
      <c r="N11" s="25"/>
      <c r="O11" s="1"/>
      <c r="P11" s="21">
        <f t="shared" si="5"/>
        <v>-19.4</v>
      </c>
      <c r="Q11" s="22"/>
      <c r="R11" s="23">
        <f t="shared" si="6"/>
        <v>-9.4</v>
      </c>
      <c r="S11" s="22"/>
      <c r="T11" s="23">
        <f t="shared" si="7"/>
        <v>0.6</v>
      </c>
      <c r="U11" s="22"/>
      <c r="V11" s="23">
        <f t="shared" si="8"/>
        <v>10.6</v>
      </c>
      <c r="W11" s="25"/>
      <c r="X11" s="1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ht="18.0" customHeight="1">
      <c r="A12" s="1"/>
      <c r="B12" s="1"/>
      <c r="C12" s="1"/>
      <c r="D12" s="1"/>
      <c r="E12" s="1"/>
      <c r="F12" s="1"/>
      <c r="G12" s="21">
        <f t="shared" si="1"/>
        <v>-19.2</v>
      </c>
      <c r="H12" s="22"/>
      <c r="I12" s="23">
        <f t="shared" si="2"/>
        <v>-9.2</v>
      </c>
      <c r="J12" s="22"/>
      <c r="K12" s="23">
        <f t="shared" si="3"/>
        <v>0.8</v>
      </c>
      <c r="L12" s="22"/>
      <c r="M12" s="23">
        <f t="shared" si="4"/>
        <v>10.8</v>
      </c>
      <c r="N12" s="25"/>
      <c r="O12" s="1"/>
      <c r="P12" s="21">
        <f t="shared" si="5"/>
        <v>-19.2</v>
      </c>
      <c r="Q12" s="22"/>
      <c r="R12" s="23">
        <f t="shared" si="6"/>
        <v>-9.2</v>
      </c>
      <c r="S12" s="22"/>
      <c r="T12" s="23">
        <f t="shared" si="7"/>
        <v>0.8</v>
      </c>
      <c r="U12" s="22"/>
      <c r="V12" s="23">
        <f t="shared" si="8"/>
        <v>10.8</v>
      </c>
      <c r="W12" s="25"/>
      <c r="X12" s="1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ht="18.0" customHeight="1">
      <c r="A13" s="1"/>
      <c r="B13" s="1"/>
      <c r="C13" s="1"/>
      <c r="D13" s="1"/>
      <c r="E13" s="1"/>
      <c r="F13" s="1"/>
      <c r="G13" s="21">
        <f t="shared" si="1"/>
        <v>-19</v>
      </c>
      <c r="H13" s="22"/>
      <c r="I13" s="23">
        <f t="shared" si="2"/>
        <v>-9</v>
      </c>
      <c r="J13" s="22"/>
      <c r="K13" s="23">
        <f t="shared" si="3"/>
        <v>1</v>
      </c>
      <c r="L13" s="22"/>
      <c r="M13" s="23">
        <f t="shared" si="4"/>
        <v>11</v>
      </c>
      <c r="N13" s="25"/>
      <c r="O13" s="1"/>
      <c r="P13" s="21">
        <f t="shared" si="5"/>
        <v>-19</v>
      </c>
      <c r="Q13" s="22"/>
      <c r="R13" s="23">
        <f t="shared" si="6"/>
        <v>-9</v>
      </c>
      <c r="S13" s="22"/>
      <c r="T13" s="23">
        <f t="shared" si="7"/>
        <v>1</v>
      </c>
      <c r="U13" s="22"/>
      <c r="V13" s="23">
        <f t="shared" si="8"/>
        <v>11</v>
      </c>
      <c r="W13" s="25"/>
      <c r="X13" s="1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</row>
    <row r="14" ht="18.0" customHeight="1">
      <c r="A14" s="1"/>
      <c r="B14" s="1"/>
      <c r="C14" s="1"/>
      <c r="D14" s="1"/>
      <c r="E14" s="1"/>
      <c r="F14" s="1"/>
      <c r="G14" s="21">
        <f t="shared" si="1"/>
        <v>-18.8</v>
      </c>
      <c r="H14" s="22"/>
      <c r="I14" s="23">
        <f t="shared" si="2"/>
        <v>-8.8</v>
      </c>
      <c r="J14" s="22"/>
      <c r="K14" s="23">
        <f t="shared" si="3"/>
        <v>1.2</v>
      </c>
      <c r="L14" s="22"/>
      <c r="M14" s="23">
        <f t="shared" si="4"/>
        <v>11.2</v>
      </c>
      <c r="N14" s="25"/>
      <c r="O14" s="1"/>
      <c r="P14" s="21">
        <f t="shared" si="5"/>
        <v>-18.8</v>
      </c>
      <c r="Q14" s="22"/>
      <c r="R14" s="23">
        <f t="shared" si="6"/>
        <v>-8.8</v>
      </c>
      <c r="S14" s="22"/>
      <c r="T14" s="23">
        <f t="shared" si="7"/>
        <v>1.2</v>
      </c>
      <c r="U14" s="22"/>
      <c r="V14" s="23">
        <f t="shared" si="8"/>
        <v>11.2</v>
      </c>
      <c r="W14" s="25"/>
      <c r="X14" s="1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</row>
    <row r="15" ht="18.0" customHeight="1">
      <c r="A15" s="1"/>
      <c r="B15" s="1"/>
      <c r="C15" s="1"/>
      <c r="D15" s="1"/>
      <c r="E15" s="1"/>
      <c r="F15" s="1"/>
      <c r="G15" s="21">
        <f t="shared" si="1"/>
        <v>-18.6</v>
      </c>
      <c r="H15" s="22"/>
      <c r="I15" s="23">
        <f t="shared" si="2"/>
        <v>-8.6</v>
      </c>
      <c r="J15" s="22"/>
      <c r="K15" s="23">
        <f t="shared" si="3"/>
        <v>1.4</v>
      </c>
      <c r="L15" s="22"/>
      <c r="M15" s="23">
        <f t="shared" si="4"/>
        <v>11.4</v>
      </c>
      <c r="N15" s="25"/>
      <c r="O15" s="1"/>
      <c r="P15" s="21">
        <f t="shared" si="5"/>
        <v>-18.6</v>
      </c>
      <c r="Q15" s="22"/>
      <c r="R15" s="23">
        <f t="shared" si="6"/>
        <v>-8.6</v>
      </c>
      <c r="S15" s="22"/>
      <c r="T15" s="23">
        <f t="shared" si="7"/>
        <v>1.4</v>
      </c>
      <c r="U15" s="22"/>
      <c r="V15" s="23">
        <f t="shared" si="8"/>
        <v>11.4</v>
      </c>
      <c r="W15" s="25"/>
      <c r="X15" s="1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</row>
    <row r="16" ht="18.0" customHeight="1">
      <c r="A16" s="1"/>
      <c r="B16" s="1"/>
      <c r="C16" s="1"/>
      <c r="D16" s="1"/>
      <c r="E16" s="1"/>
      <c r="F16" s="1"/>
      <c r="G16" s="21">
        <f t="shared" si="1"/>
        <v>-18.4</v>
      </c>
      <c r="H16" s="22"/>
      <c r="I16" s="23">
        <f t="shared" si="2"/>
        <v>-8.4</v>
      </c>
      <c r="J16" s="22"/>
      <c r="K16" s="23">
        <f t="shared" si="3"/>
        <v>1.6</v>
      </c>
      <c r="L16" s="22"/>
      <c r="M16" s="23">
        <f t="shared" si="4"/>
        <v>11.6</v>
      </c>
      <c r="N16" s="25"/>
      <c r="O16" s="1"/>
      <c r="P16" s="21">
        <f t="shared" si="5"/>
        <v>-18.4</v>
      </c>
      <c r="Q16" s="22"/>
      <c r="R16" s="23">
        <f t="shared" si="6"/>
        <v>-8.4</v>
      </c>
      <c r="S16" s="22"/>
      <c r="T16" s="23">
        <f t="shared" si="7"/>
        <v>1.6</v>
      </c>
      <c r="U16" s="22"/>
      <c r="V16" s="23">
        <f t="shared" si="8"/>
        <v>11.6</v>
      </c>
      <c r="W16" s="25"/>
      <c r="X16" s="1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ht="18.0" customHeight="1">
      <c r="A17" s="1"/>
      <c r="B17" s="1"/>
      <c r="C17" s="1"/>
      <c r="D17" s="1"/>
      <c r="E17" s="1"/>
      <c r="F17" s="1"/>
      <c r="G17" s="21">
        <f t="shared" si="1"/>
        <v>-18.2</v>
      </c>
      <c r="H17" s="22"/>
      <c r="I17" s="23">
        <f t="shared" si="2"/>
        <v>-8.2</v>
      </c>
      <c r="J17" s="22"/>
      <c r="K17" s="23">
        <f t="shared" si="3"/>
        <v>1.8</v>
      </c>
      <c r="L17" s="22"/>
      <c r="M17" s="23">
        <f t="shared" si="4"/>
        <v>11.8</v>
      </c>
      <c r="N17" s="25"/>
      <c r="O17" s="1"/>
      <c r="P17" s="21">
        <f t="shared" si="5"/>
        <v>-18.2</v>
      </c>
      <c r="Q17" s="22"/>
      <c r="R17" s="23">
        <f t="shared" si="6"/>
        <v>-8.2</v>
      </c>
      <c r="S17" s="22"/>
      <c r="T17" s="23">
        <f t="shared" si="7"/>
        <v>1.8</v>
      </c>
      <c r="U17" s="22"/>
      <c r="V17" s="23">
        <f t="shared" si="8"/>
        <v>11.8</v>
      </c>
      <c r="W17" s="25"/>
      <c r="X17" s="1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</row>
    <row r="18" ht="18.0" customHeight="1">
      <c r="A18" s="1"/>
      <c r="B18" s="1"/>
      <c r="C18" s="1"/>
      <c r="D18" s="1"/>
      <c r="E18" s="1"/>
      <c r="F18" s="1"/>
      <c r="G18" s="21">
        <f t="shared" si="1"/>
        <v>-18</v>
      </c>
      <c r="H18" s="22"/>
      <c r="I18" s="23">
        <f t="shared" si="2"/>
        <v>-8</v>
      </c>
      <c r="J18" s="22"/>
      <c r="K18" s="23">
        <f t="shared" si="3"/>
        <v>2</v>
      </c>
      <c r="L18" s="22"/>
      <c r="M18" s="23">
        <f t="shared" si="4"/>
        <v>12</v>
      </c>
      <c r="N18" s="25"/>
      <c r="O18" s="1"/>
      <c r="P18" s="21">
        <f t="shared" si="5"/>
        <v>-18</v>
      </c>
      <c r="Q18" s="22"/>
      <c r="R18" s="23">
        <f t="shared" si="6"/>
        <v>-8</v>
      </c>
      <c r="S18" s="22"/>
      <c r="T18" s="23">
        <f t="shared" si="7"/>
        <v>2</v>
      </c>
      <c r="U18" s="22"/>
      <c r="V18" s="23">
        <f t="shared" si="8"/>
        <v>12</v>
      </c>
      <c r="W18" s="25"/>
      <c r="X18" s="1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</row>
    <row r="19" ht="18.0" customHeight="1">
      <c r="A19" s="1"/>
      <c r="B19" s="1"/>
      <c r="C19" s="1"/>
      <c r="D19" s="1"/>
      <c r="E19" s="1"/>
      <c r="F19" s="1"/>
      <c r="G19" s="21">
        <f t="shared" si="1"/>
        <v>-17.8</v>
      </c>
      <c r="H19" s="22"/>
      <c r="I19" s="23">
        <f t="shared" si="2"/>
        <v>-7.8</v>
      </c>
      <c r="J19" s="22"/>
      <c r="K19" s="23">
        <f t="shared" si="3"/>
        <v>2.2</v>
      </c>
      <c r="L19" s="22"/>
      <c r="M19" s="23">
        <f t="shared" si="4"/>
        <v>12.2</v>
      </c>
      <c r="N19" s="25"/>
      <c r="O19" s="1"/>
      <c r="P19" s="21">
        <f t="shared" si="5"/>
        <v>-17.8</v>
      </c>
      <c r="Q19" s="22"/>
      <c r="R19" s="23">
        <f t="shared" si="6"/>
        <v>-7.8</v>
      </c>
      <c r="S19" s="22"/>
      <c r="T19" s="23">
        <f t="shared" si="7"/>
        <v>2.2</v>
      </c>
      <c r="U19" s="22"/>
      <c r="V19" s="23">
        <f t="shared" si="8"/>
        <v>12.2</v>
      </c>
      <c r="W19" s="25"/>
      <c r="X19" s="1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ht="18.0" customHeight="1">
      <c r="A20" s="1"/>
      <c r="B20" s="1"/>
      <c r="C20" s="1"/>
      <c r="D20" s="1"/>
      <c r="E20" s="1"/>
      <c r="F20" s="1"/>
      <c r="G20" s="21">
        <f t="shared" si="1"/>
        <v>-17.6</v>
      </c>
      <c r="H20" s="22"/>
      <c r="I20" s="23">
        <f t="shared" si="2"/>
        <v>-7.6</v>
      </c>
      <c r="J20" s="22"/>
      <c r="K20" s="23">
        <f t="shared" si="3"/>
        <v>2.4</v>
      </c>
      <c r="L20" s="22"/>
      <c r="M20" s="23">
        <f t="shared" si="4"/>
        <v>12.4</v>
      </c>
      <c r="N20" s="25"/>
      <c r="O20" s="1"/>
      <c r="P20" s="21">
        <f t="shared" si="5"/>
        <v>-17.6</v>
      </c>
      <c r="Q20" s="22"/>
      <c r="R20" s="23">
        <f t="shared" si="6"/>
        <v>-7.6</v>
      </c>
      <c r="S20" s="22"/>
      <c r="T20" s="23">
        <f t="shared" si="7"/>
        <v>2.4</v>
      </c>
      <c r="U20" s="22"/>
      <c r="V20" s="23">
        <f t="shared" si="8"/>
        <v>12.4</v>
      </c>
      <c r="W20" s="25"/>
      <c r="X20" s="1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</row>
    <row r="21" ht="18.0" customHeight="1">
      <c r="A21" s="1"/>
      <c r="B21" s="1"/>
      <c r="C21" s="1"/>
      <c r="D21" s="1"/>
      <c r="E21" s="1"/>
      <c r="F21" s="1"/>
      <c r="G21" s="21">
        <f t="shared" si="1"/>
        <v>-17.4</v>
      </c>
      <c r="H21" s="22"/>
      <c r="I21" s="23">
        <f t="shared" si="2"/>
        <v>-7.4</v>
      </c>
      <c r="J21" s="22"/>
      <c r="K21" s="23">
        <f t="shared" si="3"/>
        <v>2.6</v>
      </c>
      <c r="L21" s="22"/>
      <c r="M21" s="23">
        <f t="shared" si="4"/>
        <v>12.6</v>
      </c>
      <c r="N21" s="25"/>
      <c r="O21" s="1"/>
      <c r="P21" s="21">
        <f t="shared" si="5"/>
        <v>-17.4</v>
      </c>
      <c r="Q21" s="22"/>
      <c r="R21" s="23">
        <f t="shared" si="6"/>
        <v>-7.4</v>
      </c>
      <c r="S21" s="22"/>
      <c r="T21" s="23">
        <f t="shared" si="7"/>
        <v>2.6</v>
      </c>
      <c r="U21" s="22"/>
      <c r="V21" s="23">
        <f t="shared" si="8"/>
        <v>12.6</v>
      </c>
      <c r="W21" s="25"/>
      <c r="X21" s="1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</row>
    <row r="22" ht="18.0" customHeight="1">
      <c r="A22" s="1"/>
      <c r="B22" s="1"/>
      <c r="C22" s="1"/>
      <c r="D22" s="1"/>
      <c r="E22" s="1"/>
      <c r="F22" s="1"/>
      <c r="G22" s="21">
        <f t="shared" si="1"/>
        <v>-17.2</v>
      </c>
      <c r="H22" s="22"/>
      <c r="I22" s="23">
        <f t="shared" si="2"/>
        <v>-7.2</v>
      </c>
      <c r="J22" s="22"/>
      <c r="K22" s="23">
        <f t="shared" si="3"/>
        <v>2.8</v>
      </c>
      <c r="L22" s="22"/>
      <c r="M22" s="23">
        <f t="shared" si="4"/>
        <v>12.8</v>
      </c>
      <c r="N22" s="25"/>
      <c r="O22" s="1"/>
      <c r="P22" s="21">
        <f t="shared" si="5"/>
        <v>-17.2</v>
      </c>
      <c r="Q22" s="22"/>
      <c r="R22" s="23">
        <f t="shared" si="6"/>
        <v>-7.2</v>
      </c>
      <c r="S22" s="22"/>
      <c r="T22" s="23">
        <f t="shared" si="7"/>
        <v>2.8</v>
      </c>
      <c r="U22" s="22"/>
      <c r="V22" s="23">
        <f t="shared" si="8"/>
        <v>12.8</v>
      </c>
      <c r="W22" s="25"/>
      <c r="X22" s="1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</row>
    <row r="23" ht="18.0" customHeight="1">
      <c r="A23" s="1"/>
      <c r="B23" s="1"/>
      <c r="C23" s="1"/>
      <c r="D23" s="1"/>
      <c r="E23" s="1"/>
      <c r="F23" s="1"/>
      <c r="G23" s="21">
        <f t="shared" si="1"/>
        <v>-17</v>
      </c>
      <c r="H23" s="22"/>
      <c r="I23" s="23">
        <f t="shared" si="2"/>
        <v>-7</v>
      </c>
      <c r="J23" s="22"/>
      <c r="K23" s="23">
        <f t="shared" si="3"/>
        <v>3</v>
      </c>
      <c r="L23" s="22"/>
      <c r="M23" s="23">
        <f t="shared" si="4"/>
        <v>13</v>
      </c>
      <c r="N23" s="25"/>
      <c r="O23" s="1"/>
      <c r="P23" s="21">
        <f t="shared" si="5"/>
        <v>-17</v>
      </c>
      <c r="Q23" s="22"/>
      <c r="R23" s="23">
        <f t="shared" si="6"/>
        <v>-7</v>
      </c>
      <c r="S23" s="22"/>
      <c r="T23" s="23">
        <f t="shared" si="7"/>
        <v>3</v>
      </c>
      <c r="U23" s="22"/>
      <c r="V23" s="23">
        <f t="shared" si="8"/>
        <v>13</v>
      </c>
      <c r="W23" s="25"/>
      <c r="X23" s="1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</row>
    <row r="24" ht="18.0" customHeight="1">
      <c r="A24" s="1"/>
      <c r="B24" s="1"/>
      <c r="C24" s="1"/>
      <c r="D24" s="1"/>
      <c r="E24" s="1"/>
      <c r="F24" s="1"/>
      <c r="G24" s="21">
        <f t="shared" si="1"/>
        <v>-16.8</v>
      </c>
      <c r="H24" s="22"/>
      <c r="I24" s="23">
        <f t="shared" si="2"/>
        <v>-6.8</v>
      </c>
      <c r="J24" s="22"/>
      <c r="K24" s="23">
        <f t="shared" si="3"/>
        <v>3.2</v>
      </c>
      <c r="L24" s="22"/>
      <c r="M24" s="23">
        <f t="shared" si="4"/>
        <v>13.2</v>
      </c>
      <c r="N24" s="25"/>
      <c r="O24" s="1"/>
      <c r="P24" s="21">
        <f t="shared" si="5"/>
        <v>-16.8</v>
      </c>
      <c r="Q24" s="22"/>
      <c r="R24" s="23">
        <f t="shared" si="6"/>
        <v>-6.8</v>
      </c>
      <c r="S24" s="22"/>
      <c r="T24" s="23">
        <f t="shared" si="7"/>
        <v>3.2</v>
      </c>
      <c r="U24" s="22"/>
      <c r="V24" s="23">
        <f t="shared" si="8"/>
        <v>13.2</v>
      </c>
      <c r="W24" s="25"/>
      <c r="X24" s="1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</row>
    <row r="25" ht="18.0" customHeight="1">
      <c r="A25" s="1"/>
      <c r="B25" s="1"/>
      <c r="C25" s="1"/>
      <c r="D25" s="1"/>
      <c r="E25" s="1"/>
      <c r="F25" s="1"/>
      <c r="G25" s="21">
        <f t="shared" si="1"/>
        <v>-16.6</v>
      </c>
      <c r="H25" s="22"/>
      <c r="I25" s="23">
        <f t="shared" si="2"/>
        <v>-6.6</v>
      </c>
      <c r="J25" s="22"/>
      <c r="K25" s="23">
        <f t="shared" si="3"/>
        <v>3.4</v>
      </c>
      <c r="L25" s="22"/>
      <c r="M25" s="23">
        <f t="shared" si="4"/>
        <v>13.4</v>
      </c>
      <c r="N25" s="25"/>
      <c r="O25" s="1"/>
      <c r="P25" s="21">
        <f t="shared" si="5"/>
        <v>-16.6</v>
      </c>
      <c r="Q25" s="22"/>
      <c r="R25" s="23">
        <f t="shared" si="6"/>
        <v>-6.6</v>
      </c>
      <c r="S25" s="22"/>
      <c r="T25" s="23">
        <f t="shared" si="7"/>
        <v>3.4</v>
      </c>
      <c r="U25" s="22"/>
      <c r="V25" s="23">
        <f t="shared" si="8"/>
        <v>13.4</v>
      </c>
      <c r="W25" s="25"/>
      <c r="X25" s="1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</row>
    <row r="26" ht="18.0" customHeight="1">
      <c r="A26" s="1"/>
      <c r="B26" s="1"/>
      <c r="C26" s="1"/>
      <c r="D26" s="1"/>
      <c r="E26" s="1"/>
      <c r="F26" s="1"/>
      <c r="G26" s="21">
        <f t="shared" si="1"/>
        <v>-16.4</v>
      </c>
      <c r="H26" s="22"/>
      <c r="I26" s="23">
        <f t="shared" si="2"/>
        <v>-6.4</v>
      </c>
      <c r="J26" s="22"/>
      <c r="K26" s="23">
        <f t="shared" si="3"/>
        <v>3.6</v>
      </c>
      <c r="L26" s="22"/>
      <c r="M26" s="23">
        <f t="shared" si="4"/>
        <v>13.6</v>
      </c>
      <c r="N26" s="25"/>
      <c r="O26" s="1"/>
      <c r="P26" s="21">
        <f t="shared" si="5"/>
        <v>-16.4</v>
      </c>
      <c r="Q26" s="22"/>
      <c r="R26" s="23">
        <f t="shared" si="6"/>
        <v>-6.4</v>
      </c>
      <c r="S26" s="22"/>
      <c r="T26" s="23">
        <f t="shared" si="7"/>
        <v>3.6</v>
      </c>
      <c r="U26" s="22"/>
      <c r="V26" s="23">
        <f t="shared" si="8"/>
        <v>13.6</v>
      </c>
      <c r="W26" s="25"/>
      <c r="X26" s="1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</row>
    <row r="27" ht="18.0" customHeight="1">
      <c r="A27" s="1"/>
      <c r="B27" s="1"/>
      <c r="C27" s="1"/>
      <c r="D27" s="1"/>
      <c r="E27" s="1"/>
      <c r="F27" s="1"/>
      <c r="G27" s="21">
        <f t="shared" si="1"/>
        <v>-16.2</v>
      </c>
      <c r="H27" s="22"/>
      <c r="I27" s="23">
        <f t="shared" si="2"/>
        <v>-6.2</v>
      </c>
      <c r="J27" s="22"/>
      <c r="K27" s="23">
        <f t="shared" si="3"/>
        <v>3.8</v>
      </c>
      <c r="L27" s="22"/>
      <c r="M27" s="23">
        <f t="shared" si="4"/>
        <v>13.8</v>
      </c>
      <c r="N27" s="25"/>
      <c r="O27" s="1"/>
      <c r="P27" s="21">
        <f t="shared" si="5"/>
        <v>-16.2</v>
      </c>
      <c r="Q27" s="22"/>
      <c r="R27" s="23">
        <f t="shared" si="6"/>
        <v>-6.2</v>
      </c>
      <c r="S27" s="22"/>
      <c r="T27" s="23">
        <f t="shared" si="7"/>
        <v>3.8</v>
      </c>
      <c r="U27" s="22"/>
      <c r="V27" s="23">
        <f t="shared" si="8"/>
        <v>13.8</v>
      </c>
      <c r="W27" s="25"/>
      <c r="X27" s="1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</row>
    <row r="28" ht="18.0" customHeight="1">
      <c r="A28" s="1"/>
      <c r="B28" s="1"/>
      <c r="C28" s="1"/>
      <c r="D28" s="1"/>
      <c r="E28" s="1"/>
      <c r="F28" s="1"/>
      <c r="G28" s="21">
        <f t="shared" si="1"/>
        <v>-16</v>
      </c>
      <c r="H28" s="22"/>
      <c r="I28" s="23">
        <f t="shared" si="2"/>
        <v>-6</v>
      </c>
      <c r="J28" s="22"/>
      <c r="K28" s="23">
        <f t="shared" si="3"/>
        <v>4</v>
      </c>
      <c r="L28" s="22"/>
      <c r="M28" s="23">
        <f t="shared" si="4"/>
        <v>14</v>
      </c>
      <c r="N28" s="25"/>
      <c r="O28" s="1"/>
      <c r="P28" s="21">
        <f t="shared" si="5"/>
        <v>-16</v>
      </c>
      <c r="Q28" s="22"/>
      <c r="R28" s="23">
        <f t="shared" si="6"/>
        <v>-6</v>
      </c>
      <c r="S28" s="22"/>
      <c r="T28" s="23">
        <f t="shared" si="7"/>
        <v>4</v>
      </c>
      <c r="U28" s="22"/>
      <c r="V28" s="23">
        <f t="shared" si="8"/>
        <v>14</v>
      </c>
      <c r="W28" s="25"/>
      <c r="X28" s="1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</row>
    <row r="29" ht="18.0" customHeight="1">
      <c r="A29" s="1"/>
      <c r="B29" s="1"/>
      <c r="C29" s="1"/>
      <c r="D29" s="1"/>
      <c r="E29" s="1"/>
      <c r="F29" s="1"/>
      <c r="G29" s="21">
        <f t="shared" si="1"/>
        <v>-15.8</v>
      </c>
      <c r="H29" s="22"/>
      <c r="I29" s="23">
        <f t="shared" si="2"/>
        <v>-5.8</v>
      </c>
      <c r="J29" s="22"/>
      <c r="K29" s="23">
        <f t="shared" si="3"/>
        <v>4.2</v>
      </c>
      <c r="L29" s="22"/>
      <c r="M29" s="23">
        <f t="shared" si="4"/>
        <v>14.2</v>
      </c>
      <c r="N29" s="25"/>
      <c r="O29" s="1"/>
      <c r="P29" s="21">
        <f t="shared" si="5"/>
        <v>-15.8</v>
      </c>
      <c r="Q29" s="22"/>
      <c r="R29" s="23">
        <f t="shared" si="6"/>
        <v>-5.8</v>
      </c>
      <c r="S29" s="22"/>
      <c r="T29" s="23">
        <f t="shared" si="7"/>
        <v>4.2</v>
      </c>
      <c r="U29" s="22"/>
      <c r="V29" s="23">
        <f t="shared" si="8"/>
        <v>14.2</v>
      </c>
      <c r="W29" s="25"/>
      <c r="X29" s="1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</row>
    <row r="30" ht="18.0" customHeight="1">
      <c r="A30" s="1"/>
      <c r="B30" s="1"/>
      <c r="C30" s="1"/>
      <c r="D30" s="1"/>
      <c r="E30" s="1"/>
      <c r="F30" s="1"/>
      <c r="G30" s="21">
        <f t="shared" si="1"/>
        <v>-15.6</v>
      </c>
      <c r="H30" s="22"/>
      <c r="I30" s="23">
        <f t="shared" si="2"/>
        <v>-5.6</v>
      </c>
      <c r="J30" s="22"/>
      <c r="K30" s="23">
        <f t="shared" si="3"/>
        <v>4.4</v>
      </c>
      <c r="L30" s="22"/>
      <c r="M30" s="23">
        <f t="shared" si="4"/>
        <v>14.4</v>
      </c>
      <c r="N30" s="25"/>
      <c r="O30" s="1"/>
      <c r="P30" s="21">
        <f t="shared" si="5"/>
        <v>-15.6</v>
      </c>
      <c r="Q30" s="22"/>
      <c r="R30" s="23">
        <f t="shared" si="6"/>
        <v>-5.6</v>
      </c>
      <c r="S30" s="22"/>
      <c r="T30" s="23">
        <f t="shared" si="7"/>
        <v>4.4</v>
      </c>
      <c r="U30" s="22"/>
      <c r="V30" s="23">
        <f t="shared" si="8"/>
        <v>14.4</v>
      </c>
      <c r="W30" s="25"/>
      <c r="X30" s="1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</row>
    <row r="31" ht="18.0" customHeight="1">
      <c r="A31" s="1"/>
      <c r="B31" s="1"/>
      <c r="C31" s="1"/>
      <c r="D31" s="1"/>
      <c r="E31" s="1"/>
      <c r="F31" s="1"/>
      <c r="G31" s="21">
        <f t="shared" si="1"/>
        <v>-15.4</v>
      </c>
      <c r="H31" s="22"/>
      <c r="I31" s="23">
        <f t="shared" si="2"/>
        <v>-5.4</v>
      </c>
      <c r="J31" s="22"/>
      <c r="K31" s="23">
        <f t="shared" si="3"/>
        <v>4.6</v>
      </c>
      <c r="L31" s="22"/>
      <c r="M31" s="23">
        <f t="shared" si="4"/>
        <v>14.6</v>
      </c>
      <c r="N31" s="25"/>
      <c r="O31" s="1"/>
      <c r="P31" s="21">
        <f t="shared" si="5"/>
        <v>-15.4</v>
      </c>
      <c r="Q31" s="22"/>
      <c r="R31" s="23">
        <f t="shared" si="6"/>
        <v>-5.4</v>
      </c>
      <c r="S31" s="22"/>
      <c r="T31" s="23">
        <f t="shared" si="7"/>
        <v>4.6</v>
      </c>
      <c r="U31" s="22"/>
      <c r="V31" s="23">
        <f t="shared" si="8"/>
        <v>14.6</v>
      </c>
      <c r="W31" s="25"/>
      <c r="X31" s="1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</row>
    <row r="32" ht="18.0" customHeight="1">
      <c r="A32" s="1"/>
      <c r="B32" s="1"/>
      <c r="C32" s="1"/>
      <c r="D32" s="1"/>
      <c r="E32" s="1"/>
      <c r="F32" s="1"/>
      <c r="G32" s="21">
        <f t="shared" si="1"/>
        <v>-15.2</v>
      </c>
      <c r="H32" s="22"/>
      <c r="I32" s="23">
        <f t="shared" si="2"/>
        <v>-5.2</v>
      </c>
      <c r="J32" s="22"/>
      <c r="K32" s="23">
        <f t="shared" si="3"/>
        <v>4.8</v>
      </c>
      <c r="L32" s="22"/>
      <c r="M32" s="23">
        <f t="shared" si="4"/>
        <v>14.8</v>
      </c>
      <c r="N32" s="25"/>
      <c r="O32" s="1"/>
      <c r="P32" s="21">
        <f t="shared" si="5"/>
        <v>-15.2</v>
      </c>
      <c r="Q32" s="22"/>
      <c r="R32" s="23">
        <f t="shared" si="6"/>
        <v>-5.2</v>
      </c>
      <c r="S32" s="22"/>
      <c r="T32" s="23">
        <f t="shared" si="7"/>
        <v>4.8</v>
      </c>
      <c r="U32" s="22"/>
      <c r="V32" s="23">
        <f t="shared" si="8"/>
        <v>14.8</v>
      </c>
      <c r="W32" s="25"/>
      <c r="X32" s="1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</row>
    <row r="33" ht="18.0" customHeight="1">
      <c r="A33" s="1"/>
      <c r="B33" s="1"/>
      <c r="C33" s="1"/>
      <c r="D33" s="1"/>
      <c r="E33" s="1"/>
      <c r="F33" s="1"/>
      <c r="G33" s="21">
        <f t="shared" si="1"/>
        <v>-15</v>
      </c>
      <c r="H33" s="22"/>
      <c r="I33" s="23">
        <f t="shared" si="2"/>
        <v>-5</v>
      </c>
      <c r="J33" s="22"/>
      <c r="K33" s="23">
        <f t="shared" si="3"/>
        <v>5</v>
      </c>
      <c r="L33" s="22"/>
      <c r="M33" s="23">
        <f t="shared" si="4"/>
        <v>15</v>
      </c>
      <c r="N33" s="25"/>
      <c r="O33" s="1"/>
      <c r="P33" s="21">
        <f t="shared" si="5"/>
        <v>-15</v>
      </c>
      <c r="Q33" s="22"/>
      <c r="R33" s="23">
        <f t="shared" si="6"/>
        <v>-5</v>
      </c>
      <c r="S33" s="22"/>
      <c r="T33" s="23">
        <f t="shared" si="7"/>
        <v>5</v>
      </c>
      <c r="U33" s="22"/>
      <c r="V33" s="23">
        <f t="shared" si="8"/>
        <v>15</v>
      </c>
      <c r="W33" s="25"/>
      <c r="X33" s="1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</row>
    <row r="34" ht="18.0" customHeight="1">
      <c r="A34" s="1"/>
      <c r="B34" s="1"/>
      <c r="C34" s="1"/>
      <c r="D34" s="1"/>
      <c r="E34" s="1"/>
      <c r="F34" s="1"/>
      <c r="G34" s="21">
        <f t="shared" si="1"/>
        <v>-14.8</v>
      </c>
      <c r="H34" s="22"/>
      <c r="I34" s="23">
        <f t="shared" si="2"/>
        <v>-4.8</v>
      </c>
      <c r="J34" s="22"/>
      <c r="K34" s="23">
        <f t="shared" si="3"/>
        <v>5.2</v>
      </c>
      <c r="L34" s="22"/>
      <c r="M34" s="23">
        <f t="shared" si="4"/>
        <v>15.2</v>
      </c>
      <c r="N34" s="25"/>
      <c r="O34" s="1"/>
      <c r="P34" s="21">
        <f t="shared" si="5"/>
        <v>-14.8</v>
      </c>
      <c r="Q34" s="22"/>
      <c r="R34" s="23">
        <f t="shared" si="6"/>
        <v>-4.8</v>
      </c>
      <c r="S34" s="22"/>
      <c r="T34" s="23">
        <f t="shared" si="7"/>
        <v>5.2</v>
      </c>
      <c r="U34" s="22"/>
      <c r="V34" s="23">
        <f t="shared" si="8"/>
        <v>15.2</v>
      </c>
      <c r="W34" s="25"/>
      <c r="X34" s="1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</row>
    <row r="35" ht="18.0" customHeight="1">
      <c r="A35" s="1"/>
      <c r="B35" s="1"/>
      <c r="C35" s="1"/>
      <c r="D35" s="1"/>
      <c r="E35" s="1"/>
      <c r="F35" s="1"/>
      <c r="G35" s="21">
        <f t="shared" si="1"/>
        <v>-14.6</v>
      </c>
      <c r="H35" s="22"/>
      <c r="I35" s="23">
        <f t="shared" si="2"/>
        <v>-4.6</v>
      </c>
      <c r="J35" s="22"/>
      <c r="K35" s="23">
        <f t="shared" si="3"/>
        <v>5.4</v>
      </c>
      <c r="L35" s="22"/>
      <c r="M35" s="23">
        <f t="shared" si="4"/>
        <v>15.4</v>
      </c>
      <c r="N35" s="25"/>
      <c r="O35" s="1"/>
      <c r="P35" s="21">
        <f t="shared" si="5"/>
        <v>-14.6</v>
      </c>
      <c r="Q35" s="22"/>
      <c r="R35" s="23">
        <f t="shared" si="6"/>
        <v>-4.6</v>
      </c>
      <c r="S35" s="22"/>
      <c r="T35" s="23">
        <f t="shared" si="7"/>
        <v>5.4</v>
      </c>
      <c r="U35" s="22"/>
      <c r="V35" s="23">
        <f t="shared" si="8"/>
        <v>15.4</v>
      </c>
      <c r="W35" s="25"/>
      <c r="X35" s="1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</row>
    <row r="36" ht="18.0" customHeight="1">
      <c r="A36" s="1"/>
      <c r="B36" s="1"/>
      <c r="C36" s="1"/>
      <c r="D36" s="1"/>
      <c r="E36" s="1"/>
      <c r="F36" s="1"/>
      <c r="G36" s="21">
        <f t="shared" si="1"/>
        <v>-14.4</v>
      </c>
      <c r="H36" s="22"/>
      <c r="I36" s="23">
        <f t="shared" si="2"/>
        <v>-4.4</v>
      </c>
      <c r="J36" s="22"/>
      <c r="K36" s="23">
        <f t="shared" si="3"/>
        <v>5.6</v>
      </c>
      <c r="L36" s="22"/>
      <c r="M36" s="23">
        <f t="shared" si="4"/>
        <v>15.6</v>
      </c>
      <c r="N36" s="25"/>
      <c r="O36" s="1"/>
      <c r="P36" s="21">
        <f t="shared" si="5"/>
        <v>-14.4</v>
      </c>
      <c r="Q36" s="22"/>
      <c r="R36" s="23">
        <f t="shared" si="6"/>
        <v>-4.4</v>
      </c>
      <c r="S36" s="22"/>
      <c r="T36" s="23">
        <f t="shared" si="7"/>
        <v>5.6</v>
      </c>
      <c r="U36" s="22"/>
      <c r="V36" s="23">
        <f t="shared" si="8"/>
        <v>15.6</v>
      </c>
      <c r="W36" s="25"/>
      <c r="X36" s="1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</row>
    <row r="37" ht="18.0" customHeight="1">
      <c r="A37" s="1"/>
      <c r="B37" s="1"/>
      <c r="C37" s="1"/>
      <c r="D37" s="1"/>
      <c r="E37" s="1"/>
      <c r="F37" s="1"/>
      <c r="G37" s="21">
        <f t="shared" si="1"/>
        <v>-14.2</v>
      </c>
      <c r="H37" s="22"/>
      <c r="I37" s="23">
        <f t="shared" si="2"/>
        <v>-4.2</v>
      </c>
      <c r="J37" s="22"/>
      <c r="K37" s="23">
        <f t="shared" si="3"/>
        <v>5.8</v>
      </c>
      <c r="L37" s="22"/>
      <c r="M37" s="23">
        <f t="shared" si="4"/>
        <v>15.8</v>
      </c>
      <c r="N37" s="25"/>
      <c r="O37" s="1"/>
      <c r="P37" s="21">
        <f t="shared" si="5"/>
        <v>-14.2</v>
      </c>
      <c r="Q37" s="22"/>
      <c r="R37" s="23">
        <f t="shared" si="6"/>
        <v>-4.2</v>
      </c>
      <c r="S37" s="22"/>
      <c r="T37" s="23">
        <f t="shared" si="7"/>
        <v>5.8</v>
      </c>
      <c r="U37" s="22"/>
      <c r="V37" s="23">
        <f t="shared" si="8"/>
        <v>15.8</v>
      </c>
      <c r="W37" s="25"/>
      <c r="X37" s="1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</row>
    <row r="38" ht="18.0" customHeight="1">
      <c r="A38" s="1"/>
      <c r="B38" s="1"/>
      <c r="C38" s="1"/>
      <c r="D38" s="1"/>
      <c r="E38" s="1"/>
      <c r="F38" s="1"/>
      <c r="G38" s="21">
        <f t="shared" si="1"/>
        <v>-14</v>
      </c>
      <c r="H38" s="22"/>
      <c r="I38" s="23">
        <f t="shared" si="2"/>
        <v>-4</v>
      </c>
      <c r="J38" s="22"/>
      <c r="K38" s="23">
        <f t="shared" si="3"/>
        <v>6</v>
      </c>
      <c r="L38" s="22"/>
      <c r="M38" s="23">
        <f t="shared" si="4"/>
        <v>16</v>
      </c>
      <c r="N38" s="25"/>
      <c r="O38" s="1"/>
      <c r="P38" s="21">
        <f t="shared" si="5"/>
        <v>-14</v>
      </c>
      <c r="Q38" s="22"/>
      <c r="R38" s="23">
        <f t="shared" si="6"/>
        <v>-4</v>
      </c>
      <c r="S38" s="22"/>
      <c r="T38" s="23">
        <f t="shared" si="7"/>
        <v>6</v>
      </c>
      <c r="U38" s="22"/>
      <c r="V38" s="23">
        <f t="shared" si="8"/>
        <v>16</v>
      </c>
      <c r="W38" s="25"/>
      <c r="X38" s="1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</row>
    <row r="39" ht="18.0" customHeight="1">
      <c r="A39" s="1"/>
      <c r="B39" s="1"/>
      <c r="C39" s="1"/>
      <c r="D39" s="1"/>
      <c r="E39" s="1"/>
      <c r="F39" s="1"/>
      <c r="G39" s="21">
        <f t="shared" si="1"/>
        <v>-13.8</v>
      </c>
      <c r="H39" s="22"/>
      <c r="I39" s="23">
        <f t="shared" si="2"/>
        <v>-3.8</v>
      </c>
      <c r="J39" s="22"/>
      <c r="K39" s="23">
        <f t="shared" si="3"/>
        <v>6.2</v>
      </c>
      <c r="L39" s="22"/>
      <c r="M39" s="23">
        <f t="shared" si="4"/>
        <v>16.2</v>
      </c>
      <c r="N39" s="25"/>
      <c r="O39" s="1"/>
      <c r="P39" s="21">
        <f t="shared" si="5"/>
        <v>-13.8</v>
      </c>
      <c r="Q39" s="22"/>
      <c r="R39" s="23">
        <f t="shared" si="6"/>
        <v>-3.8</v>
      </c>
      <c r="S39" s="22"/>
      <c r="T39" s="23">
        <f t="shared" si="7"/>
        <v>6.2</v>
      </c>
      <c r="U39" s="22"/>
      <c r="V39" s="23">
        <f t="shared" si="8"/>
        <v>16.2</v>
      </c>
      <c r="W39" s="25"/>
      <c r="X39" s="1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ht="18.0" customHeight="1">
      <c r="A40" s="1"/>
      <c r="B40" s="1"/>
      <c r="C40" s="1"/>
      <c r="D40" s="1"/>
      <c r="E40" s="1"/>
      <c r="F40" s="1"/>
      <c r="G40" s="21">
        <f t="shared" si="1"/>
        <v>-13.6</v>
      </c>
      <c r="H40" s="22"/>
      <c r="I40" s="23">
        <f t="shared" si="2"/>
        <v>-3.6</v>
      </c>
      <c r="J40" s="22"/>
      <c r="K40" s="23">
        <f t="shared" si="3"/>
        <v>6.4</v>
      </c>
      <c r="L40" s="22"/>
      <c r="M40" s="23">
        <f t="shared" si="4"/>
        <v>16.4</v>
      </c>
      <c r="N40" s="25"/>
      <c r="O40" s="1"/>
      <c r="P40" s="21">
        <f t="shared" si="5"/>
        <v>-13.6</v>
      </c>
      <c r="Q40" s="22"/>
      <c r="R40" s="23">
        <f t="shared" si="6"/>
        <v>-3.6</v>
      </c>
      <c r="S40" s="22"/>
      <c r="T40" s="23">
        <f t="shared" si="7"/>
        <v>6.4</v>
      </c>
      <c r="U40" s="22"/>
      <c r="V40" s="23">
        <f t="shared" si="8"/>
        <v>16.4</v>
      </c>
      <c r="W40" s="25"/>
      <c r="X40" s="1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ht="18.0" customHeight="1">
      <c r="A41" s="1"/>
      <c r="B41" s="1"/>
      <c r="C41" s="1"/>
      <c r="D41" s="1"/>
      <c r="E41" s="1"/>
      <c r="F41" s="1"/>
      <c r="G41" s="21">
        <f t="shared" si="1"/>
        <v>-13.4</v>
      </c>
      <c r="H41" s="22"/>
      <c r="I41" s="23">
        <f t="shared" si="2"/>
        <v>-3.4</v>
      </c>
      <c r="J41" s="22"/>
      <c r="K41" s="23">
        <f t="shared" si="3"/>
        <v>6.6</v>
      </c>
      <c r="L41" s="22"/>
      <c r="M41" s="23">
        <f t="shared" si="4"/>
        <v>16.6</v>
      </c>
      <c r="N41" s="25"/>
      <c r="O41" s="1"/>
      <c r="P41" s="21">
        <f t="shared" si="5"/>
        <v>-13.4</v>
      </c>
      <c r="Q41" s="22"/>
      <c r="R41" s="23">
        <f t="shared" si="6"/>
        <v>-3.4</v>
      </c>
      <c r="S41" s="22"/>
      <c r="T41" s="23">
        <f t="shared" si="7"/>
        <v>6.6</v>
      </c>
      <c r="U41" s="22"/>
      <c r="V41" s="23">
        <f t="shared" si="8"/>
        <v>16.6</v>
      </c>
      <c r="W41" s="25"/>
      <c r="X41" s="1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</row>
    <row r="42" ht="18.0" customHeight="1">
      <c r="A42" s="1"/>
      <c r="B42" s="1"/>
      <c r="C42" s="1"/>
      <c r="D42" s="1"/>
      <c r="E42" s="1"/>
      <c r="F42" s="1"/>
      <c r="G42" s="21">
        <f t="shared" si="1"/>
        <v>-13.2</v>
      </c>
      <c r="H42" s="22"/>
      <c r="I42" s="23">
        <f t="shared" si="2"/>
        <v>-3.2</v>
      </c>
      <c r="J42" s="22"/>
      <c r="K42" s="23">
        <f t="shared" si="3"/>
        <v>6.8</v>
      </c>
      <c r="L42" s="22"/>
      <c r="M42" s="23">
        <f t="shared" si="4"/>
        <v>16.8</v>
      </c>
      <c r="N42" s="25"/>
      <c r="O42" s="1"/>
      <c r="P42" s="21">
        <f t="shared" si="5"/>
        <v>-13.2</v>
      </c>
      <c r="Q42" s="22"/>
      <c r="R42" s="23">
        <f t="shared" si="6"/>
        <v>-3.2</v>
      </c>
      <c r="S42" s="22"/>
      <c r="T42" s="23">
        <f t="shared" si="7"/>
        <v>6.8</v>
      </c>
      <c r="U42" s="22"/>
      <c r="V42" s="23">
        <f t="shared" si="8"/>
        <v>16.8</v>
      </c>
      <c r="W42" s="25"/>
      <c r="X42" s="1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</row>
    <row r="43" ht="18.0" customHeight="1">
      <c r="A43" s="1"/>
      <c r="B43" s="1"/>
      <c r="C43" s="1"/>
      <c r="D43" s="1"/>
      <c r="E43" s="1"/>
      <c r="F43" s="1"/>
      <c r="G43" s="21">
        <f t="shared" si="1"/>
        <v>-13</v>
      </c>
      <c r="H43" s="22"/>
      <c r="I43" s="23">
        <f t="shared" si="2"/>
        <v>-3</v>
      </c>
      <c r="J43" s="22"/>
      <c r="K43" s="23">
        <f t="shared" si="3"/>
        <v>7</v>
      </c>
      <c r="L43" s="22"/>
      <c r="M43" s="23">
        <f t="shared" si="4"/>
        <v>17</v>
      </c>
      <c r="N43" s="25"/>
      <c r="O43" s="1"/>
      <c r="P43" s="21">
        <f t="shared" si="5"/>
        <v>-13</v>
      </c>
      <c r="Q43" s="22"/>
      <c r="R43" s="23">
        <f t="shared" si="6"/>
        <v>-3</v>
      </c>
      <c r="S43" s="22"/>
      <c r="T43" s="23">
        <f t="shared" si="7"/>
        <v>7</v>
      </c>
      <c r="U43" s="22"/>
      <c r="V43" s="23">
        <f t="shared" si="8"/>
        <v>17</v>
      </c>
      <c r="W43" s="25"/>
      <c r="X43" s="1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</row>
    <row r="44" ht="18.0" customHeight="1">
      <c r="A44" s="1"/>
      <c r="B44" s="1"/>
      <c r="C44" s="1"/>
      <c r="D44" s="1"/>
      <c r="E44" s="1"/>
      <c r="F44" s="1"/>
      <c r="G44" s="21">
        <f t="shared" si="1"/>
        <v>-12.8</v>
      </c>
      <c r="H44" s="22"/>
      <c r="I44" s="23">
        <f t="shared" si="2"/>
        <v>-2.8</v>
      </c>
      <c r="J44" s="22"/>
      <c r="K44" s="23">
        <f t="shared" si="3"/>
        <v>7.2</v>
      </c>
      <c r="L44" s="22"/>
      <c r="M44" s="23">
        <f t="shared" si="4"/>
        <v>17.2</v>
      </c>
      <c r="N44" s="25"/>
      <c r="O44" s="1"/>
      <c r="P44" s="21">
        <f t="shared" si="5"/>
        <v>-12.8</v>
      </c>
      <c r="Q44" s="22"/>
      <c r="R44" s="23">
        <f t="shared" si="6"/>
        <v>-2.8</v>
      </c>
      <c r="S44" s="22"/>
      <c r="T44" s="23">
        <f t="shared" si="7"/>
        <v>7.2</v>
      </c>
      <c r="U44" s="22"/>
      <c r="V44" s="23">
        <f t="shared" si="8"/>
        <v>17.2</v>
      </c>
      <c r="W44" s="25"/>
      <c r="X44" s="1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</row>
    <row r="45" ht="18.0" customHeight="1">
      <c r="A45" s="1"/>
      <c r="B45" s="1"/>
      <c r="C45" s="1"/>
      <c r="D45" s="1"/>
      <c r="E45" s="1"/>
      <c r="F45" s="1"/>
      <c r="G45" s="21">
        <f t="shared" si="1"/>
        <v>-12.6</v>
      </c>
      <c r="H45" s="22"/>
      <c r="I45" s="23">
        <f t="shared" si="2"/>
        <v>-2.6</v>
      </c>
      <c r="J45" s="22"/>
      <c r="K45" s="23">
        <f t="shared" si="3"/>
        <v>7.4</v>
      </c>
      <c r="L45" s="22"/>
      <c r="M45" s="23">
        <f t="shared" si="4"/>
        <v>17.4</v>
      </c>
      <c r="N45" s="25"/>
      <c r="O45" s="1"/>
      <c r="P45" s="21">
        <f t="shared" si="5"/>
        <v>-12.6</v>
      </c>
      <c r="Q45" s="22"/>
      <c r="R45" s="23">
        <f t="shared" si="6"/>
        <v>-2.6</v>
      </c>
      <c r="S45" s="22"/>
      <c r="T45" s="23">
        <f t="shared" si="7"/>
        <v>7.4</v>
      </c>
      <c r="U45" s="22"/>
      <c r="V45" s="23">
        <f t="shared" si="8"/>
        <v>17.4</v>
      </c>
      <c r="W45" s="25"/>
      <c r="X45" s="1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</row>
    <row r="46" ht="18.0" customHeight="1">
      <c r="A46" s="1"/>
      <c r="B46" s="1"/>
      <c r="C46" s="1"/>
      <c r="D46" s="1"/>
      <c r="E46" s="1"/>
      <c r="F46" s="1"/>
      <c r="G46" s="21">
        <f t="shared" si="1"/>
        <v>-12.4</v>
      </c>
      <c r="H46" s="22"/>
      <c r="I46" s="23">
        <f t="shared" si="2"/>
        <v>-2.4</v>
      </c>
      <c r="J46" s="22"/>
      <c r="K46" s="23">
        <f t="shared" si="3"/>
        <v>7.6</v>
      </c>
      <c r="L46" s="22"/>
      <c r="M46" s="23">
        <f t="shared" si="4"/>
        <v>17.6</v>
      </c>
      <c r="N46" s="25"/>
      <c r="O46" s="1"/>
      <c r="P46" s="21">
        <f t="shared" si="5"/>
        <v>-12.4</v>
      </c>
      <c r="Q46" s="22"/>
      <c r="R46" s="23">
        <f t="shared" si="6"/>
        <v>-2.4</v>
      </c>
      <c r="S46" s="22"/>
      <c r="T46" s="23">
        <f t="shared" si="7"/>
        <v>7.6</v>
      </c>
      <c r="U46" s="22"/>
      <c r="V46" s="23">
        <f t="shared" si="8"/>
        <v>17.6</v>
      </c>
      <c r="W46" s="25"/>
      <c r="X46" s="1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</row>
    <row r="47" ht="18.0" customHeight="1">
      <c r="A47" s="1"/>
      <c r="B47" s="1"/>
      <c r="C47" s="1"/>
      <c r="D47" s="1"/>
      <c r="E47" s="1"/>
      <c r="F47" s="1"/>
      <c r="G47" s="21">
        <f t="shared" si="1"/>
        <v>-12.2</v>
      </c>
      <c r="H47" s="22"/>
      <c r="I47" s="23">
        <f t="shared" si="2"/>
        <v>-2.2</v>
      </c>
      <c r="J47" s="22"/>
      <c r="K47" s="23">
        <f t="shared" si="3"/>
        <v>7.8</v>
      </c>
      <c r="L47" s="22"/>
      <c r="M47" s="23">
        <f t="shared" si="4"/>
        <v>17.8</v>
      </c>
      <c r="N47" s="25"/>
      <c r="O47" s="1"/>
      <c r="P47" s="21">
        <f t="shared" si="5"/>
        <v>-12.2</v>
      </c>
      <c r="Q47" s="22"/>
      <c r="R47" s="23">
        <f t="shared" si="6"/>
        <v>-2.2</v>
      </c>
      <c r="S47" s="22"/>
      <c r="T47" s="23">
        <f t="shared" si="7"/>
        <v>7.8</v>
      </c>
      <c r="U47" s="22"/>
      <c r="V47" s="23">
        <f t="shared" si="8"/>
        <v>17.8</v>
      </c>
      <c r="W47" s="25"/>
      <c r="X47" s="1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</row>
    <row r="48" ht="18.0" customHeight="1">
      <c r="A48" s="1"/>
      <c r="B48" s="1"/>
      <c r="C48" s="1"/>
      <c r="D48" s="1"/>
      <c r="E48" s="1"/>
      <c r="F48" s="1"/>
      <c r="G48" s="21">
        <f t="shared" si="1"/>
        <v>-12</v>
      </c>
      <c r="H48" s="22"/>
      <c r="I48" s="23">
        <f t="shared" si="2"/>
        <v>-2</v>
      </c>
      <c r="J48" s="22"/>
      <c r="K48" s="23">
        <f t="shared" si="3"/>
        <v>8</v>
      </c>
      <c r="L48" s="22"/>
      <c r="M48" s="23">
        <f t="shared" si="4"/>
        <v>18</v>
      </c>
      <c r="N48" s="25"/>
      <c r="O48" s="1"/>
      <c r="P48" s="21">
        <f t="shared" si="5"/>
        <v>-12</v>
      </c>
      <c r="Q48" s="22"/>
      <c r="R48" s="23">
        <f t="shared" si="6"/>
        <v>-2</v>
      </c>
      <c r="S48" s="22"/>
      <c r="T48" s="23">
        <f t="shared" si="7"/>
        <v>8</v>
      </c>
      <c r="U48" s="22"/>
      <c r="V48" s="23">
        <f t="shared" si="8"/>
        <v>18</v>
      </c>
      <c r="W48" s="25"/>
      <c r="X48" s="1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</row>
    <row r="49" ht="18.0" customHeight="1">
      <c r="A49" s="1"/>
      <c r="B49" s="1"/>
      <c r="C49" s="1"/>
      <c r="D49" s="1"/>
      <c r="E49" s="1"/>
      <c r="F49" s="1"/>
      <c r="G49" s="21">
        <f t="shared" si="1"/>
        <v>-11.8</v>
      </c>
      <c r="H49" s="22"/>
      <c r="I49" s="23">
        <f t="shared" si="2"/>
        <v>-1.8</v>
      </c>
      <c r="J49" s="22"/>
      <c r="K49" s="23">
        <f t="shared" si="3"/>
        <v>8.2</v>
      </c>
      <c r="L49" s="22"/>
      <c r="M49" s="23">
        <f t="shared" si="4"/>
        <v>18.2</v>
      </c>
      <c r="N49" s="25"/>
      <c r="O49" s="1"/>
      <c r="P49" s="21">
        <f t="shared" si="5"/>
        <v>-11.8</v>
      </c>
      <c r="Q49" s="22"/>
      <c r="R49" s="23">
        <f t="shared" si="6"/>
        <v>-1.8</v>
      </c>
      <c r="S49" s="22"/>
      <c r="T49" s="23">
        <f t="shared" si="7"/>
        <v>8.2</v>
      </c>
      <c r="U49" s="22"/>
      <c r="V49" s="23">
        <f t="shared" si="8"/>
        <v>18.2</v>
      </c>
      <c r="W49" s="25"/>
      <c r="X49" s="1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</row>
    <row r="50" ht="18.0" customHeight="1">
      <c r="A50" s="1"/>
      <c r="B50" s="1"/>
      <c r="C50" s="1"/>
      <c r="D50" s="1"/>
      <c r="E50" s="1"/>
      <c r="F50" s="1"/>
      <c r="G50" s="21">
        <f t="shared" si="1"/>
        <v>-11.6</v>
      </c>
      <c r="H50" s="22"/>
      <c r="I50" s="23">
        <f t="shared" si="2"/>
        <v>-1.6</v>
      </c>
      <c r="J50" s="22"/>
      <c r="K50" s="23">
        <f t="shared" si="3"/>
        <v>8.4</v>
      </c>
      <c r="L50" s="22"/>
      <c r="M50" s="23">
        <f t="shared" si="4"/>
        <v>18.4</v>
      </c>
      <c r="N50" s="25"/>
      <c r="O50" s="1"/>
      <c r="P50" s="21">
        <f t="shared" si="5"/>
        <v>-11.6</v>
      </c>
      <c r="Q50" s="22"/>
      <c r="R50" s="23">
        <f t="shared" si="6"/>
        <v>-1.6</v>
      </c>
      <c r="S50" s="22"/>
      <c r="T50" s="23">
        <f t="shared" si="7"/>
        <v>8.4</v>
      </c>
      <c r="U50" s="22"/>
      <c r="V50" s="23">
        <f t="shared" si="8"/>
        <v>18.4</v>
      </c>
      <c r="W50" s="25"/>
      <c r="X50" s="1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</row>
    <row r="51" ht="18.0" customHeight="1">
      <c r="A51" s="1"/>
      <c r="B51" s="1"/>
      <c r="C51" s="1"/>
      <c r="D51" s="1"/>
      <c r="E51" s="1"/>
      <c r="F51" s="1"/>
      <c r="G51" s="21">
        <f t="shared" si="1"/>
        <v>-11.4</v>
      </c>
      <c r="H51" s="22"/>
      <c r="I51" s="23">
        <f t="shared" si="2"/>
        <v>-1.4</v>
      </c>
      <c r="J51" s="22"/>
      <c r="K51" s="23">
        <f t="shared" si="3"/>
        <v>8.6</v>
      </c>
      <c r="L51" s="22"/>
      <c r="M51" s="23">
        <f t="shared" si="4"/>
        <v>18.6</v>
      </c>
      <c r="N51" s="25"/>
      <c r="O51" s="1"/>
      <c r="P51" s="21">
        <f t="shared" si="5"/>
        <v>-11.4</v>
      </c>
      <c r="Q51" s="22"/>
      <c r="R51" s="23">
        <f t="shared" si="6"/>
        <v>-1.4</v>
      </c>
      <c r="S51" s="22"/>
      <c r="T51" s="23">
        <f t="shared" si="7"/>
        <v>8.6</v>
      </c>
      <c r="U51" s="22"/>
      <c r="V51" s="23">
        <f t="shared" si="8"/>
        <v>18.6</v>
      </c>
      <c r="W51" s="25"/>
      <c r="X51" s="1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</row>
    <row r="52" ht="18.0" customHeight="1">
      <c r="A52" s="1"/>
      <c r="B52" s="1"/>
      <c r="C52" s="1"/>
      <c r="D52" s="1"/>
      <c r="E52" s="1"/>
      <c r="F52" s="1"/>
      <c r="G52" s="21">
        <f t="shared" si="1"/>
        <v>-11.2</v>
      </c>
      <c r="H52" s="22"/>
      <c r="I52" s="23">
        <f t="shared" si="2"/>
        <v>-1.2</v>
      </c>
      <c r="J52" s="22"/>
      <c r="K52" s="23">
        <f t="shared" si="3"/>
        <v>8.8</v>
      </c>
      <c r="L52" s="22"/>
      <c r="M52" s="23">
        <f t="shared" si="4"/>
        <v>18.8</v>
      </c>
      <c r="N52" s="25"/>
      <c r="O52" s="1"/>
      <c r="P52" s="21">
        <f t="shared" si="5"/>
        <v>-11.2</v>
      </c>
      <c r="Q52" s="22"/>
      <c r="R52" s="23">
        <f t="shared" si="6"/>
        <v>-1.2</v>
      </c>
      <c r="S52" s="22"/>
      <c r="T52" s="23">
        <f t="shared" si="7"/>
        <v>8.8</v>
      </c>
      <c r="U52" s="22"/>
      <c r="V52" s="23">
        <f t="shared" si="8"/>
        <v>18.8</v>
      </c>
      <c r="W52" s="25"/>
      <c r="X52" s="1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</row>
    <row r="53" ht="18.0" customHeight="1">
      <c r="A53" s="1"/>
      <c r="B53" s="1"/>
      <c r="C53" s="1"/>
      <c r="D53" s="1"/>
      <c r="E53" s="1"/>
      <c r="F53" s="1"/>
      <c r="G53" s="21">
        <f t="shared" si="1"/>
        <v>-11</v>
      </c>
      <c r="H53" s="22"/>
      <c r="I53" s="23">
        <f t="shared" si="2"/>
        <v>-1</v>
      </c>
      <c r="J53" s="22"/>
      <c r="K53" s="23">
        <f t="shared" si="3"/>
        <v>9</v>
      </c>
      <c r="L53" s="22"/>
      <c r="M53" s="23">
        <f t="shared" si="4"/>
        <v>19</v>
      </c>
      <c r="N53" s="25"/>
      <c r="O53" s="1"/>
      <c r="P53" s="21">
        <f t="shared" si="5"/>
        <v>-11</v>
      </c>
      <c r="Q53" s="22"/>
      <c r="R53" s="23">
        <f t="shared" si="6"/>
        <v>-1</v>
      </c>
      <c r="S53" s="22"/>
      <c r="T53" s="23">
        <f t="shared" si="7"/>
        <v>9</v>
      </c>
      <c r="U53" s="22"/>
      <c r="V53" s="23">
        <f t="shared" si="8"/>
        <v>19</v>
      </c>
      <c r="W53" s="25"/>
      <c r="X53" s="1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</row>
    <row r="54" ht="18.0" customHeight="1">
      <c r="A54" s="1"/>
      <c r="B54" s="1"/>
      <c r="C54" s="1"/>
      <c r="D54" s="1"/>
      <c r="E54" s="1"/>
      <c r="F54" s="1"/>
      <c r="G54" s="21">
        <f t="shared" si="1"/>
        <v>-10.8</v>
      </c>
      <c r="H54" s="22"/>
      <c r="I54" s="23">
        <f t="shared" si="2"/>
        <v>-0.8</v>
      </c>
      <c r="J54" s="22"/>
      <c r="K54" s="23">
        <f t="shared" si="3"/>
        <v>9.2</v>
      </c>
      <c r="L54" s="22"/>
      <c r="M54" s="23">
        <f t="shared" si="4"/>
        <v>19.2</v>
      </c>
      <c r="N54" s="25"/>
      <c r="O54" s="1"/>
      <c r="P54" s="21">
        <f t="shared" si="5"/>
        <v>-10.8</v>
      </c>
      <c r="Q54" s="22"/>
      <c r="R54" s="23">
        <f t="shared" si="6"/>
        <v>-0.8</v>
      </c>
      <c r="S54" s="22"/>
      <c r="T54" s="23">
        <f t="shared" si="7"/>
        <v>9.2</v>
      </c>
      <c r="U54" s="22"/>
      <c r="V54" s="23">
        <f t="shared" si="8"/>
        <v>19.2</v>
      </c>
      <c r="W54" s="25"/>
      <c r="X54" s="1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</row>
    <row r="55" ht="18.0" customHeight="1">
      <c r="A55" s="1"/>
      <c r="B55" s="1"/>
      <c r="C55" s="1"/>
      <c r="D55" s="1"/>
      <c r="E55" s="1"/>
      <c r="F55" s="1"/>
      <c r="G55" s="21">
        <f t="shared" si="1"/>
        <v>-10.6</v>
      </c>
      <c r="H55" s="22"/>
      <c r="I55" s="23">
        <f t="shared" si="2"/>
        <v>-0.6</v>
      </c>
      <c r="J55" s="22"/>
      <c r="K55" s="23">
        <f t="shared" si="3"/>
        <v>9.4</v>
      </c>
      <c r="L55" s="22"/>
      <c r="M55" s="23">
        <f t="shared" si="4"/>
        <v>19.4</v>
      </c>
      <c r="N55" s="25"/>
      <c r="O55" s="1"/>
      <c r="P55" s="21">
        <f t="shared" si="5"/>
        <v>-10.6</v>
      </c>
      <c r="Q55" s="22"/>
      <c r="R55" s="23">
        <f t="shared" si="6"/>
        <v>-0.6</v>
      </c>
      <c r="S55" s="22"/>
      <c r="T55" s="23">
        <f t="shared" si="7"/>
        <v>9.4</v>
      </c>
      <c r="U55" s="22"/>
      <c r="V55" s="23">
        <f t="shared" si="8"/>
        <v>19.4</v>
      </c>
      <c r="W55" s="25"/>
      <c r="X55" s="1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ht="18.0" customHeight="1">
      <c r="A56" s="1"/>
      <c r="B56" s="1"/>
      <c r="C56" s="1"/>
      <c r="D56" s="1"/>
      <c r="E56" s="1"/>
      <c r="F56" s="1"/>
      <c r="G56" s="21">
        <f t="shared" si="1"/>
        <v>-10.4</v>
      </c>
      <c r="H56" s="22"/>
      <c r="I56" s="23">
        <f t="shared" si="2"/>
        <v>-0.4</v>
      </c>
      <c r="J56" s="22"/>
      <c r="K56" s="23">
        <f t="shared" si="3"/>
        <v>9.6</v>
      </c>
      <c r="L56" s="22"/>
      <c r="M56" s="23">
        <f t="shared" si="4"/>
        <v>19.6</v>
      </c>
      <c r="N56" s="25"/>
      <c r="O56" s="1"/>
      <c r="P56" s="21">
        <f t="shared" si="5"/>
        <v>-10.4</v>
      </c>
      <c r="Q56" s="22"/>
      <c r="R56" s="23">
        <f t="shared" si="6"/>
        <v>-0.4</v>
      </c>
      <c r="S56" s="22"/>
      <c r="T56" s="23">
        <f t="shared" si="7"/>
        <v>9.6</v>
      </c>
      <c r="U56" s="22"/>
      <c r="V56" s="23">
        <f t="shared" si="8"/>
        <v>19.6</v>
      </c>
      <c r="W56" s="25"/>
      <c r="X56" s="1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ht="18.0" customHeight="1">
      <c r="A57" s="1"/>
      <c r="B57" s="1"/>
      <c r="C57" s="1"/>
      <c r="D57" s="1"/>
      <c r="E57" s="1"/>
      <c r="F57" s="1"/>
      <c r="G57" s="21">
        <f t="shared" si="1"/>
        <v>-10.2</v>
      </c>
      <c r="H57" s="22"/>
      <c r="I57" s="23">
        <f t="shared" si="2"/>
        <v>-0.2</v>
      </c>
      <c r="J57" s="22"/>
      <c r="K57" s="23">
        <f t="shared" si="3"/>
        <v>9.8</v>
      </c>
      <c r="L57" s="22"/>
      <c r="M57" s="23">
        <f t="shared" si="4"/>
        <v>19.8</v>
      </c>
      <c r="N57" s="25"/>
      <c r="O57" s="1"/>
      <c r="P57" s="21">
        <f t="shared" si="5"/>
        <v>-10.2</v>
      </c>
      <c r="Q57" s="22"/>
      <c r="R57" s="23">
        <f t="shared" si="6"/>
        <v>-0.2</v>
      </c>
      <c r="S57" s="22"/>
      <c r="T57" s="23">
        <f t="shared" si="7"/>
        <v>9.8</v>
      </c>
      <c r="U57" s="22"/>
      <c r="V57" s="23">
        <f t="shared" si="8"/>
        <v>19.8</v>
      </c>
      <c r="W57" s="25"/>
      <c r="X57" s="1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</row>
    <row r="58" ht="18.0" customHeight="1">
      <c r="A58" s="1"/>
      <c r="B58" s="1"/>
      <c r="C58" s="1"/>
      <c r="D58" s="1"/>
      <c r="E58" s="1"/>
      <c r="F58" s="1"/>
      <c r="G58" s="26"/>
      <c r="H58" s="27"/>
      <c r="I58" s="27"/>
      <c r="J58" s="27"/>
      <c r="K58" s="27"/>
      <c r="L58" s="14"/>
      <c r="M58" s="28">
        <f t="shared" si="4"/>
        <v>20</v>
      </c>
      <c r="N58" s="29"/>
      <c r="O58" s="1"/>
      <c r="P58" s="26"/>
      <c r="Q58" s="27"/>
      <c r="R58" s="27"/>
      <c r="S58" s="27"/>
      <c r="T58" s="27"/>
      <c r="U58" s="14"/>
      <c r="V58" s="28">
        <f t="shared" si="8"/>
        <v>20</v>
      </c>
      <c r="W58" s="29"/>
      <c r="X58" s="1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</row>
    <row r="59" ht="18.0" customHeight="1">
      <c r="A59" s="1"/>
      <c r="B59" s="30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</row>
    <row r="60" ht="18.0" customHeight="1">
      <c r="A60" s="1"/>
      <c r="B60" s="30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</row>
    <row r="61" ht="18.0" customHeight="1">
      <c r="A61" s="1"/>
      <c r="B61" s="30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</row>
    <row r="62" ht="18.0" customHeight="1">
      <c r="A62" s="1"/>
      <c r="B62" s="30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</row>
    <row r="63" ht="18.0" customHeight="1">
      <c r="A63" s="1"/>
      <c r="B63" s="30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</row>
    <row r="64" ht="18.0" customHeight="1">
      <c r="A64" s="1"/>
      <c r="B64" s="30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</row>
    <row r="65" ht="18.0" customHeight="1">
      <c r="A65" s="1"/>
      <c r="B65" s="30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</row>
    <row r="66" ht="18.0" customHeight="1">
      <c r="A66" s="1"/>
      <c r="B66" s="30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</row>
    <row r="67" ht="18.0" customHeight="1">
      <c r="A67" s="1"/>
      <c r="B67" s="30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ht="18.0" customHeight="1">
      <c r="A68" s="1"/>
      <c r="B68" s="30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</row>
    <row r="69" ht="18.0" customHeight="1">
      <c r="A69" s="1"/>
      <c r="B69" s="30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</row>
    <row r="70" ht="18.0" customHeight="1">
      <c r="A70" s="1"/>
      <c r="B70" s="30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</row>
    <row r="71" ht="18.0" customHeight="1">
      <c r="A71" s="1"/>
      <c r="B71" s="1"/>
      <c r="C71" s="1"/>
      <c r="D71" s="1"/>
      <c r="E71" s="1"/>
      <c r="F71" s="1"/>
      <c r="G71" s="1"/>
      <c r="H71" s="1"/>
      <c r="I71" s="1"/>
      <c r="K71" s="1"/>
      <c r="L71" s="1"/>
      <c r="M71" s="1"/>
      <c r="N71" s="1"/>
      <c r="O71" s="1"/>
      <c r="P71" s="1"/>
      <c r="Q71" s="1"/>
      <c r="R71" s="1"/>
      <c r="T71" s="1"/>
      <c r="U71" s="1"/>
      <c r="V71" s="1"/>
      <c r="W71" s="1"/>
      <c r="X71" s="1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</row>
    <row r="72" ht="18.0" customHeight="1">
      <c r="A72" s="1"/>
      <c r="B72" s="1"/>
      <c r="C72" s="1"/>
      <c r="D72" s="1"/>
      <c r="E72" s="1"/>
      <c r="F72" s="1"/>
      <c r="G72" s="31" t="s">
        <v>10</v>
      </c>
      <c r="H72" s="1"/>
      <c r="I72" s="1"/>
      <c r="J72" s="1"/>
      <c r="K72" s="1"/>
      <c r="L72" s="1"/>
      <c r="M72" s="1"/>
      <c r="N72" s="1"/>
      <c r="O72" s="1"/>
      <c r="P72" s="2" t="s">
        <v>11</v>
      </c>
      <c r="Q72" s="1"/>
      <c r="R72" s="1"/>
      <c r="S72" s="1"/>
      <c r="T72" s="1"/>
      <c r="U72" s="1"/>
      <c r="V72" s="1"/>
      <c r="W72" s="1"/>
      <c r="X72" s="1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</row>
    <row r="73" ht="18.0" customHeight="1">
      <c r="A73" s="1"/>
      <c r="B73" s="1"/>
      <c r="C73" s="1"/>
      <c r="D73" s="1"/>
      <c r="E73" s="1"/>
      <c r="F73" s="1"/>
      <c r="G73" s="32"/>
      <c r="H73" s="33" t="s">
        <v>12</v>
      </c>
      <c r="I73" s="33" t="s">
        <v>13</v>
      </c>
      <c r="J73" s="33" t="s">
        <v>14</v>
      </c>
      <c r="K73" s="33" t="s">
        <v>15</v>
      </c>
      <c r="L73" s="33" t="s">
        <v>16</v>
      </c>
      <c r="M73" s="34" t="s">
        <v>17</v>
      </c>
      <c r="N73" s="1"/>
      <c r="O73" s="1"/>
      <c r="P73" s="32"/>
      <c r="Q73" s="33" t="s">
        <v>12</v>
      </c>
      <c r="R73" s="33" t="s">
        <v>13</v>
      </c>
      <c r="S73" s="33" t="s">
        <v>14</v>
      </c>
      <c r="T73" s="33" t="s">
        <v>15</v>
      </c>
      <c r="U73" s="33" t="s">
        <v>16</v>
      </c>
      <c r="V73" s="34" t="s">
        <v>17</v>
      </c>
      <c r="W73" s="1"/>
      <c r="X73" s="1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</row>
    <row r="74" ht="18.0" customHeight="1">
      <c r="A74" s="1"/>
      <c r="B74" s="1"/>
      <c r="C74" s="1"/>
      <c r="D74" s="1"/>
      <c r="E74" s="1"/>
      <c r="F74" s="1"/>
      <c r="G74" s="35" t="s">
        <v>18</v>
      </c>
      <c r="H74" s="22">
        <v>1.0</v>
      </c>
      <c r="I74" s="22">
        <v>2.0</v>
      </c>
      <c r="J74" s="22">
        <v>3.0</v>
      </c>
      <c r="K74" s="22">
        <v>4.0</v>
      </c>
      <c r="L74" s="22">
        <v>5.0</v>
      </c>
      <c r="M74" s="25">
        <v>6.0</v>
      </c>
      <c r="N74" s="1"/>
      <c r="O74" s="1"/>
      <c r="P74" s="36" t="s">
        <v>19</v>
      </c>
      <c r="Q74" s="22"/>
      <c r="R74" s="22"/>
      <c r="S74" s="22"/>
      <c r="T74" s="22"/>
      <c r="U74" s="22"/>
      <c r="V74" s="25"/>
      <c r="W74" s="1"/>
      <c r="X74" s="1"/>
      <c r="Y74" s="1"/>
      <c r="Z74" s="1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</row>
    <row r="75" ht="18.0" customHeight="1">
      <c r="A75" s="1"/>
      <c r="B75" s="1"/>
      <c r="C75" s="1"/>
      <c r="D75" s="1"/>
      <c r="E75" s="1"/>
      <c r="F75" s="1"/>
      <c r="G75" s="36" t="s">
        <v>20</v>
      </c>
      <c r="H75" s="22">
        <v>1.0</v>
      </c>
      <c r="I75" s="22">
        <v>2.0</v>
      </c>
      <c r="J75" s="22">
        <v>3.0</v>
      </c>
      <c r="K75" s="22">
        <v>4.0</v>
      </c>
      <c r="L75" s="22">
        <v>5.0</v>
      </c>
      <c r="M75" s="25">
        <v>6.0</v>
      </c>
      <c r="N75" s="1"/>
      <c r="O75" s="1"/>
      <c r="P75" s="36" t="s">
        <v>21</v>
      </c>
      <c r="Q75" s="22"/>
      <c r="R75" s="22"/>
      <c r="S75" s="22"/>
      <c r="T75" s="22"/>
      <c r="U75" s="22"/>
      <c r="V75" s="25"/>
      <c r="W75" s="1"/>
      <c r="X75" s="1"/>
      <c r="Y75" s="1"/>
      <c r="Z75" s="1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</row>
    <row r="76" ht="18.0" customHeight="1">
      <c r="A76" s="1"/>
      <c r="B76" s="1"/>
      <c r="C76" s="1"/>
      <c r="D76" s="1"/>
      <c r="E76" s="1"/>
      <c r="F76" s="1"/>
      <c r="G76" s="37" t="s">
        <v>22</v>
      </c>
      <c r="H76" s="38">
        <f> ABS((H74-H75)/2/G6)</f>
        <v>0</v>
      </c>
      <c r="I76" s="38">
        <f> ABS((I74-I75)/2/G6)</f>
        <v>0</v>
      </c>
      <c r="J76" s="38">
        <f> ABS((J74-J75)/2/G6)</f>
        <v>0</v>
      </c>
      <c r="K76" s="38">
        <f> ABS((K74-K75)/2/G6)</f>
        <v>0</v>
      </c>
      <c r="L76" s="38">
        <f> ABS((L74-L75)/2/G6)</f>
        <v>0</v>
      </c>
      <c r="M76" s="39">
        <f> ABS((M74-M75)/2/G6)</f>
        <v>0</v>
      </c>
      <c r="N76" s="1"/>
      <c r="O76" s="1"/>
      <c r="P76" s="37" t="s">
        <v>22</v>
      </c>
      <c r="Q76" s="38">
        <f> ABS((Q74-Q75)/2/P6)</f>
        <v>0</v>
      </c>
      <c r="R76" s="38">
        <f> ABS((R74-R75)/2/P6)</f>
        <v>0</v>
      </c>
      <c r="S76" s="38">
        <f> ABS((S74-S75)/2/P6)</f>
        <v>0</v>
      </c>
      <c r="T76" s="38">
        <f> ABS((T74-T75)/2/P6)</f>
        <v>0</v>
      </c>
      <c r="U76" s="38">
        <f> ABS((U74-U75)/2/P6)</f>
        <v>0</v>
      </c>
      <c r="V76" s="39">
        <f> ABS((V74-V75)/2/P6)</f>
        <v>0</v>
      </c>
      <c r="W76" s="1"/>
      <c r="X76" s="1"/>
      <c r="Y76" s="1"/>
      <c r="Z76" s="1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</row>
    <row r="77" ht="18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</row>
    <row r="78" ht="18.0" customHeight="1">
      <c r="A78" s="1"/>
      <c r="B78" s="1"/>
      <c r="C78" s="1"/>
      <c r="D78" s="1"/>
      <c r="E78" s="1"/>
      <c r="F78" s="1"/>
      <c r="G78" s="2" t="s">
        <v>23</v>
      </c>
      <c r="H78" s="1"/>
      <c r="I78" s="1"/>
      <c r="J78" s="1"/>
      <c r="K78" s="1"/>
      <c r="L78" s="1"/>
      <c r="M78" s="1"/>
      <c r="N78" s="1"/>
      <c r="O78" s="1"/>
      <c r="P78" s="2" t="s">
        <v>24</v>
      </c>
      <c r="Q78" s="1"/>
      <c r="R78" s="1"/>
      <c r="S78" s="1"/>
      <c r="T78" s="1"/>
      <c r="U78" s="1"/>
      <c r="V78" s="1"/>
      <c r="W78" s="1"/>
      <c r="X78" s="1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</row>
    <row r="79" ht="18.0" customHeight="1">
      <c r="A79" s="1"/>
      <c r="B79" s="1"/>
      <c r="C79" s="1"/>
      <c r="D79" s="1"/>
      <c r="E79" s="1"/>
      <c r="F79" s="1"/>
      <c r="G79" s="32"/>
      <c r="H79" s="33" t="s">
        <v>12</v>
      </c>
      <c r="I79" s="33" t="s">
        <v>13</v>
      </c>
      <c r="J79" s="33" t="s">
        <v>14</v>
      </c>
      <c r="K79" s="33" t="s">
        <v>15</v>
      </c>
      <c r="L79" s="33" t="s">
        <v>16</v>
      </c>
      <c r="M79" s="34" t="s">
        <v>17</v>
      </c>
      <c r="N79" s="1"/>
      <c r="O79" s="1"/>
      <c r="P79" s="32"/>
      <c r="Q79" s="33" t="s">
        <v>12</v>
      </c>
      <c r="R79" s="33" t="s">
        <v>13</v>
      </c>
      <c r="S79" s="33" t="s">
        <v>14</v>
      </c>
      <c r="T79" s="33" t="s">
        <v>15</v>
      </c>
      <c r="U79" s="33" t="s">
        <v>16</v>
      </c>
      <c r="V79" s="34" t="s">
        <v>17</v>
      </c>
      <c r="W79" s="1"/>
      <c r="X79" s="1"/>
      <c r="Y79" s="1"/>
      <c r="Z79" s="1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</row>
    <row r="80" ht="18.0" customHeight="1">
      <c r="A80" s="1"/>
      <c r="B80" s="1"/>
      <c r="C80" s="1"/>
      <c r="D80" s="1"/>
      <c r="E80" s="1"/>
      <c r="F80" s="1"/>
      <c r="G80" s="36" t="s">
        <v>25</v>
      </c>
      <c r="H80" s="23" t="str">
        <f> G6*M6/K6*-1</f>
        <v>#DIV/0!</v>
      </c>
      <c r="I80" s="23" t="str">
        <f> G6*M6*2/K6*-1</f>
        <v>#DIV/0!</v>
      </c>
      <c r="J80" s="1" t="str">
        <f> G6*M6*3/K6*-1</f>
        <v>#DIV/0!</v>
      </c>
      <c r="K80" s="23" t="str">
        <f> G6*M6*4/K6*-1</f>
        <v>#DIV/0!</v>
      </c>
      <c r="L80" s="23" t="str">
        <f> G6*M6*5/K6*-1</f>
        <v>#DIV/0!</v>
      </c>
      <c r="M80" s="40" t="str">
        <f>G6*M6/I6*-1</f>
        <v>#DIV/0!</v>
      </c>
      <c r="N80" s="1"/>
      <c r="O80" s="1"/>
      <c r="P80" s="36" t="s">
        <v>26</v>
      </c>
      <c r="Q80" s="23" t="str">
        <f> P6*V6/T6*-1</f>
        <v>#DIV/0!</v>
      </c>
      <c r="R80" s="23" t="str">
        <f> P6*V6*2/T6*-1</f>
        <v>#DIV/0!</v>
      </c>
      <c r="S80" s="23" t="str">
        <f> P6*V6*3/T6*-1</f>
        <v>#DIV/0!</v>
      </c>
      <c r="T80" s="23" t="str">
        <f> P6*V6*4/T6*-1</f>
        <v>#DIV/0!</v>
      </c>
      <c r="U80" s="23" t="str">
        <f> P6*V6*5/T6*-1</f>
        <v>#DIV/0!</v>
      </c>
      <c r="V80" s="40" t="str">
        <f>P6*V6/R6*-1</f>
        <v>#DIV/0!</v>
      </c>
      <c r="W80" s="1"/>
      <c r="X80" s="1"/>
      <c r="Y80" s="1"/>
      <c r="Z80" s="1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</row>
    <row r="81" ht="18.0" customHeight="1">
      <c r="A81" s="1"/>
      <c r="B81" s="1"/>
      <c r="C81" s="1"/>
      <c r="D81" s="1"/>
      <c r="E81" s="1"/>
      <c r="F81" s="1"/>
      <c r="G81" s="36" t="s">
        <v>27</v>
      </c>
      <c r="H81" s="23" t="str">
        <f> G6*M6/K6</f>
        <v>#DIV/0!</v>
      </c>
      <c r="I81" s="23" t="str">
        <f> G6*M6*2/K6</f>
        <v>#DIV/0!</v>
      </c>
      <c r="J81" s="1" t="str">
        <f> G6*M6*3/K6</f>
        <v>#DIV/0!</v>
      </c>
      <c r="K81" s="23" t="str">
        <f> G6*M6*4/K6</f>
        <v>#DIV/0!</v>
      </c>
      <c r="L81" s="23" t="str">
        <f> G6*M6*5/K6</f>
        <v>#DIV/0!</v>
      </c>
      <c r="M81" s="40" t="str">
        <f>G6*M6/I6</f>
        <v>#DIV/0!</v>
      </c>
      <c r="N81" s="1"/>
      <c r="O81" s="1"/>
      <c r="P81" s="36" t="s">
        <v>28</v>
      </c>
      <c r="Q81" s="23" t="str">
        <f> P6*V6/T6</f>
        <v>#DIV/0!</v>
      </c>
      <c r="R81" s="23" t="str">
        <f> P6*V6*2/T6</f>
        <v>#DIV/0!</v>
      </c>
      <c r="S81" s="1" t="str">
        <f> P6*V6*3/T6*-1</f>
        <v>#DIV/0!</v>
      </c>
      <c r="T81" s="23" t="str">
        <f> P6*V6*4/T6</f>
        <v>#DIV/0!</v>
      </c>
      <c r="U81" s="23" t="str">
        <f> P6*V6*5/T6</f>
        <v>#DIV/0!</v>
      </c>
      <c r="V81" s="40" t="str">
        <f>P6*V6/R6</f>
        <v>#DIV/0!</v>
      </c>
      <c r="W81" s="1"/>
      <c r="X81" s="1"/>
      <c r="Y81" s="1"/>
      <c r="Z81" s="1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</row>
    <row r="82" ht="18.0" customHeight="1">
      <c r="A82" s="1"/>
      <c r="B82" s="1"/>
      <c r="C82" s="1"/>
      <c r="D82" s="1"/>
      <c r="E82" s="1"/>
      <c r="F82" s="1"/>
      <c r="G82" s="37" t="s">
        <v>22</v>
      </c>
      <c r="H82" s="38" t="str">
        <f> ABS((H80-H81)/2/G6)</f>
        <v>#DIV/0!</v>
      </c>
      <c r="I82" s="38" t="str">
        <f> ABS((I80-I81)/2/G6)</f>
        <v>#DIV/0!</v>
      </c>
      <c r="J82" s="38" t="str">
        <f> ABS((J80-J81)/2/G6)</f>
        <v>#DIV/0!</v>
      </c>
      <c r="K82" s="38" t="str">
        <f> ABS((K80-K81)/2/G6)</f>
        <v>#DIV/0!</v>
      </c>
      <c r="L82" s="38" t="str">
        <f> ABS((L80-L81)/2/G6)</f>
        <v>#DIV/0!</v>
      </c>
      <c r="M82" s="39" t="str">
        <f> ABS((M80-M81)/2/G6)</f>
        <v>#DIV/0!</v>
      </c>
      <c r="N82" s="1"/>
      <c r="O82" s="1"/>
      <c r="P82" s="37" t="s">
        <v>22</v>
      </c>
      <c r="Q82" s="38" t="str">
        <f> ABS((Q80-Q81)/2/P6)</f>
        <v>#DIV/0!</v>
      </c>
      <c r="R82" s="38" t="str">
        <f> ABS((R80-R81)/2/P6)</f>
        <v>#DIV/0!</v>
      </c>
      <c r="S82" s="38" t="str">
        <f> ABS((S80-S81)/2/P6)</f>
        <v>#DIV/0!</v>
      </c>
      <c r="T82" s="38" t="str">
        <f> ABS((T80-T81)/2/P6)</f>
        <v>#DIV/0!</v>
      </c>
      <c r="U82" s="38" t="str">
        <f> ABS((U80-U81)/2/P6)</f>
        <v>#DIV/0!</v>
      </c>
      <c r="V82" s="39" t="str">
        <f> ABS((V80-V81)/2/P6)</f>
        <v>#DIV/0!</v>
      </c>
      <c r="W82" s="1"/>
      <c r="X82" s="1"/>
      <c r="Y82" s="1"/>
      <c r="Z82" s="1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ht="18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</row>
    <row r="84" ht="18.0" customHeight="1">
      <c r="A84" s="1"/>
      <c r="B84" s="1"/>
      <c r="C84" s="1"/>
      <c r="D84" s="1"/>
      <c r="E84" s="1"/>
      <c r="F84" s="1"/>
      <c r="G84" s="41" t="s">
        <v>29</v>
      </c>
      <c r="H84" s="1"/>
      <c r="I84" s="1"/>
      <c r="J84" s="1"/>
      <c r="K84" s="1"/>
      <c r="L84" s="1"/>
      <c r="M84" s="1"/>
      <c r="N84" s="1"/>
      <c r="O84" s="1"/>
      <c r="P84" s="41" t="s">
        <v>29</v>
      </c>
      <c r="Q84" s="1"/>
      <c r="R84" s="1"/>
      <c r="S84" s="1"/>
      <c r="T84" s="1"/>
      <c r="U84" s="1"/>
      <c r="V84" s="1"/>
      <c r="W84" s="1"/>
      <c r="X84" s="1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</row>
    <row r="85" ht="18.0" customHeight="1">
      <c r="A85" s="1"/>
      <c r="B85" s="1"/>
      <c r="C85" s="1"/>
      <c r="D85" s="1"/>
      <c r="E85" s="1"/>
      <c r="F85" s="1"/>
      <c r="G85" s="42"/>
      <c r="H85" s="43"/>
      <c r="I85" s="44"/>
      <c r="J85" s="45" t="s">
        <v>30</v>
      </c>
      <c r="K85" s="45" t="s">
        <v>31</v>
      </c>
      <c r="L85" s="46" t="s">
        <v>32</v>
      </c>
      <c r="M85" s="47"/>
      <c r="N85" s="1"/>
      <c r="O85" s="1"/>
      <c r="P85" s="42"/>
      <c r="Q85" s="43"/>
      <c r="R85" s="44"/>
      <c r="S85" s="45" t="s">
        <v>30</v>
      </c>
      <c r="T85" s="45" t="s">
        <v>31</v>
      </c>
      <c r="U85" s="46" t="s">
        <v>32</v>
      </c>
      <c r="V85" s="47"/>
      <c r="W85" s="1"/>
      <c r="X85" s="1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</row>
    <row r="86" ht="18.0" customHeight="1">
      <c r="A86" s="1"/>
      <c r="B86" s="30"/>
      <c r="C86" s="1"/>
      <c r="D86" s="1"/>
      <c r="E86" s="1"/>
      <c r="F86" s="1"/>
      <c r="G86" s="48" t="s">
        <v>4</v>
      </c>
      <c r="H86" s="49"/>
      <c r="I86" s="19" t="s">
        <v>33</v>
      </c>
      <c r="J86" s="50" t="str">
        <f>I6</f>
        <v/>
      </c>
      <c r="K86" s="51">
        <f> ABS($G6*$M6/M74)</f>
        <v>0.05291666667</v>
      </c>
      <c r="L86" s="52" t="str">
        <f> ABS((K86-$J86)/$J86*100)</f>
        <v>#DIV/0!</v>
      </c>
      <c r="M86" s="53"/>
      <c r="N86" s="1"/>
      <c r="O86" s="1"/>
      <c r="P86" s="48" t="s">
        <v>4</v>
      </c>
      <c r="Q86" s="49"/>
      <c r="R86" s="19" t="s">
        <v>34</v>
      </c>
      <c r="S86" s="50" t="str">
        <f>R6</f>
        <v/>
      </c>
      <c r="T86" s="51" t="str">
        <f> ABS($G6*$M6/V74)</f>
        <v>#DIV/0!</v>
      </c>
      <c r="U86" s="52" t="str">
        <f> ABS((T86-$J86)/$J86*100)</f>
        <v>#DIV/0!</v>
      </c>
      <c r="V86" s="53"/>
      <c r="W86" s="1"/>
      <c r="X86" s="1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</row>
    <row r="87" ht="18.0" customHeight="1">
      <c r="A87" s="1"/>
      <c r="B87" s="1"/>
      <c r="C87" s="1"/>
      <c r="D87" s="1"/>
      <c r="E87" s="1"/>
      <c r="F87" s="1"/>
      <c r="G87" s="54"/>
      <c r="H87" s="49"/>
      <c r="I87" s="24" t="s">
        <v>35</v>
      </c>
      <c r="J87" s="55"/>
      <c r="K87" s="51">
        <f> ABS(G6*M6/M75)</f>
        <v>0.05291666667</v>
      </c>
      <c r="L87" s="52" t="str">
        <f> ABS((K87-J86)/J86*100)</f>
        <v>#DIV/0!</v>
      </c>
      <c r="M87" s="53"/>
      <c r="N87" s="1"/>
      <c r="O87" s="1"/>
      <c r="P87" s="54"/>
      <c r="Q87" s="49"/>
      <c r="R87" s="24" t="s">
        <v>36</v>
      </c>
      <c r="S87" s="55"/>
      <c r="T87" s="51" t="str">
        <f> ABS(P6*V6/V75)</f>
        <v>#DIV/0!</v>
      </c>
      <c r="U87" s="52" t="str">
        <f> ABS((T87-S86)/S86*100)</f>
        <v>#DIV/0!</v>
      </c>
      <c r="V87" s="53"/>
      <c r="W87" s="1"/>
      <c r="X87" s="1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</row>
    <row r="88" ht="18.0" customHeight="1">
      <c r="A88" s="1"/>
      <c r="B88" s="1"/>
      <c r="C88" s="1"/>
      <c r="D88" s="1"/>
      <c r="E88" s="1"/>
      <c r="F88" s="1"/>
      <c r="G88" s="9"/>
      <c r="H88" s="10"/>
      <c r="I88" s="56" t="s">
        <v>37</v>
      </c>
      <c r="J88" s="57"/>
      <c r="K88" s="58">
        <f> AVERAGE(K86:K87)</f>
        <v>0.05291666667</v>
      </c>
      <c r="L88" s="59" t="str">
        <f> ABS((K88-J86)/J86*100)</f>
        <v>#DIV/0!</v>
      </c>
      <c r="M88" s="60"/>
      <c r="N88" s="1"/>
      <c r="O88" s="1"/>
      <c r="P88" s="9"/>
      <c r="Q88" s="10"/>
      <c r="R88" s="56" t="s">
        <v>37</v>
      </c>
      <c r="S88" s="57"/>
      <c r="T88" s="58" t="str">
        <f> AVERAGE(T86:T87)</f>
        <v>#DIV/0!</v>
      </c>
      <c r="U88" s="59" t="str">
        <f> ABS((T88-S86)/S86*100)</f>
        <v>#DIV/0!</v>
      </c>
      <c r="V88" s="60"/>
      <c r="W88" s="1"/>
      <c r="X88" s="1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</row>
    <row r="89" ht="18.0" customHeight="1">
      <c r="A89" s="1"/>
      <c r="B89" s="1"/>
      <c r="C89" s="1"/>
      <c r="D89" s="1"/>
      <c r="E89" s="1"/>
      <c r="F89" s="1"/>
      <c r="G89" s="61" t="s">
        <v>38</v>
      </c>
      <c r="H89" s="62"/>
      <c r="I89" s="63" t="s">
        <v>39</v>
      </c>
      <c r="J89" s="64" t="str">
        <f>K6</f>
        <v/>
      </c>
      <c r="K89" s="65">
        <f> '計算用'!I4</f>
        <v>0.3175</v>
      </c>
      <c r="L89" s="66" t="str">
        <f> ABS((K89-J89)/J89*100)</f>
        <v>#DIV/0!</v>
      </c>
      <c r="M89" s="12"/>
      <c r="N89" s="1"/>
      <c r="O89" s="1"/>
      <c r="P89" s="61" t="s">
        <v>38</v>
      </c>
      <c r="Q89" s="62"/>
      <c r="R89" s="63" t="s">
        <v>40</v>
      </c>
      <c r="S89" s="64" t="str">
        <f>T6</f>
        <v/>
      </c>
      <c r="T89" s="65" t="str">
        <f>'計算用'!S4</f>
        <v>#DIV/0!</v>
      </c>
      <c r="U89" s="66" t="str">
        <f> ABS((T89-S89)/S89*100)</f>
        <v>#DIV/0!</v>
      </c>
      <c r="V89" s="12"/>
      <c r="W89" s="1"/>
      <c r="X89" s="1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</row>
    <row r="90" ht="18.0" customHeight="1">
      <c r="A90" s="1"/>
      <c r="B90" s="1"/>
      <c r="C90" s="1"/>
      <c r="D90" s="1"/>
      <c r="E90" s="1"/>
      <c r="F90" s="1"/>
      <c r="G90" s="54"/>
      <c r="H90" s="49"/>
      <c r="I90" s="24" t="s">
        <v>41</v>
      </c>
      <c r="J90" s="55"/>
      <c r="K90" s="67">
        <f>'計算用'!I6</f>
        <v>0.3175</v>
      </c>
      <c r="L90" s="52" t="str">
        <f> ABS((K90-J89)/J89*100)</f>
        <v>#DIV/0!</v>
      </c>
      <c r="M90" s="53"/>
      <c r="N90" s="1"/>
      <c r="O90" s="1"/>
      <c r="P90" s="54"/>
      <c r="Q90" s="49"/>
      <c r="R90" s="24" t="s">
        <v>42</v>
      </c>
      <c r="S90" s="55"/>
      <c r="T90" s="67" t="str">
        <f>'計算用'!S6</f>
        <v>#DIV/0!</v>
      </c>
      <c r="U90" s="52" t="str">
        <f> ABS((T90-S89)/S89*100)</f>
        <v>#DIV/0!</v>
      </c>
      <c r="V90" s="53"/>
      <c r="W90" s="1"/>
      <c r="X90" s="1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ht="18.0" customHeight="1">
      <c r="A91" s="1"/>
      <c r="B91" s="1"/>
      <c r="C91" s="1"/>
      <c r="D91" s="1"/>
      <c r="E91" s="1"/>
      <c r="F91" s="1"/>
      <c r="G91" s="68"/>
      <c r="H91" s="69"/>
      <c r="I91" s="70" t="s">
        <v>37</v>
      </c>
      <c r="J91" s="71"/>
      <c r="K91" s="72">
        <f> '計算用'!J4</f>
        <v>0.3175</v>
      </c>
      <c r="L91" s="73" t="str">
        <f> ABS((K91-J89)/J89*100)</f>
        <v>#DIV/0!</v>
      </c>
      <c r="M91" s="17"/>
      <c r="N91" s="1"/>
      <c r="O91" s="1"/>
      <c r="P91" s="68"/>
      <c r="Q91" s="69"/>
      <c r="R91" s="70" t="s">
        <v>37</v>
      </c>
      <c r="S91" s="71"/>
      <c r="T91" s="72" t="str">
        <f>'計算用'!T4</f>
        <v>#DIV/0!</v>
      </c>
      <c r="U91" s="73" t="str">
        <f> ABS((T91-S89)/S89*100)</f>
        <v>#DIV/0!</v>
      </c>
      <c r="V91" s="17"/>
      <c r="W91" s="1"/>
      <c r="X91" s="1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</row>
    <row r="92" ht="18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</row>
    <row r="93" ht="18.0" customHeight="1">
      <c r="A93" s="1"/>
      <c r="B93" s="1"/>
      <c r="C93" s="1"/>
      <c r="D93" s="1"/>
      <c r="E93" s="1"/>
      <c r="F93" s="1"/>
      <c r="G93" s="41" t="s">
        <v>43</v>
      </c>
      <c r="H93" s="1"/>
      <c r="I93" s="1"/>
      <c r="J93" s="1"/>
      <c r="K93" s="1"/>
      <c r="L93" s="1"/>
      <c r="M93" s="1"/>
      <c r="N93" s="1"/>
      <c r="O93" s="1"/>
      <c r="P93" s="41" t="s">
        <v>43</v>
      </c>
      <c r="Q93" s="1"/>
      <c r="R93" s="1"/>
      <c r="S93" s="1"/>
      <c r="T93" s="1"/>
      <c r="U93" s="1"/>
      <c r="V93" s="1"/>
      <c r="W93" s="1"/>
      <c r="X93" s="1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</row>
    <row r="94" ht="18.0" customHeight="1">
      <c r="A94" s="1"/>
      <c r="B94" s="1"/>
      <c r="C94" s="1"/>
      <c r="D94" s="1"/>
      <c r="E94" s="1"/>
      <c r="F94" s="1"/>
      <c r="G94" s="74"/>
      <c r="H94" s="75" t="s">
        <v>44</v>
      </c>
      <c r="I94" s="76" t="s">
        <v>45</v>
      </c>
      <c r="J94" s="76" t="s">
        <v>46</v>
      </c>
      <c r="K94" s="76" t="s">
        <v>47</v>
      </c>
      <c r="L94" s="77" t="s">
        <v>48</v>
      </c>
      <c r="M94" s="1"/>
      <c r="N94" s="1"/>
      <c r="O94" s="1"/>
      <c r="P94" s="74"/>
      <c r="Q94" s="75" t="s">
        <v>44</v>
      </c>
      <c r="R94" s="76" t="s">
        <v>49</v>
      </c>
      <c r="S94" s="76" t="s">
        <v>46</v>
      </c>
      <c r="T94" s="76" t="s">
        <v>47</v>
      </c>
      <c r="U94" s="77" t="s">
        <v>48</v>
      </c>
      <c r="V94" s="1"/>
      <c r="W94" s="1"/>
      <c r="X94" s="1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</row>
    <row r="95" ht="18.0" customHeight="1">
      <c r="A95" s="1"/>
      <c r="B95" s="1"/>
      <c r="C95" s="1"/>
      <c r="D95" s="1"/>
      <c r="E95" s="1"/>
      <c r="F95" s="1"/>
      <c r="G95" s="78"/>
      <c r="H95" s="57"/>
      <c r="I95" s="57"/>
      <c r="J95" s="57"/>
      <c r="K95" s="57"/>
      <c r="L95" s="79"/>
      <c r="M95" s="1"/>
      <c r="N95" s="1"/>
      <c r="O95" s="1"/>
      <c r="P95" s="78"/>
      <c r="Q95" s="57"/>
      <c r="R95" s="57"/>
      <c r="S95" s="57"/>
      <c r="T95" s="57"/>
      <c r="U95" s="79"/>
      <c r="V95" s="1"/>
      <c r="W95" s="1"/>
      <c r="X95" s="1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ht="18.0" customHeight="1">
      <c r="A96" s="1"/>
      <c r="B96" s="1"/>
      <c r="C96" s="1"/>
      <c r="D96" s="1"/>
      <c r="E96" s="1"/>
      <c r="F96" s="1"/>
      <c r="G96" s="80" t="s">
        <v>50</v>
      </c>
      <c r="H96" s="81"/>
      <c r="I96" s="81"/>
      <c r="J96" s="81"/>
      <c r="K96" s="81"/>
      <c r="L96" s="82"/>
      <c r="M96" s="1"/>
      <c r="N96" s="1"/>
      <c r="O96" s="1"/>
      <c r="P96" s="80" t="s">
        <v>50</v>
      </c>
      <c r="Q96" s="81"/>
      <c r="R96" s="81"/>
      <c r="S96" s="81"/>
      <c r="T96" s="81"/>
      <c r="U96" s="82"/>
      <c r="V96" s="1"/>
      <c r="W96" s="1"/>
      <c r="X96" s="1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</row>
    <row r="97" ht="18.0" customHeight="1">
      <c r="A97" s="1"/>
      <c r="B97" s="30"/>
      <c r="C97" s="1"/>
      <c r="D97" s="1"/>
      <c r="E97" s="1"/>
      <c r="F97" s="1"/>
      <c r="G97" s="83"/>
      <c r="H97" s="71"/>
      <c r="I97" s="71"/>
      <c r="J97" s="71"/>
      <c r="K97" s="71"/>
      <c r="L97" s="84"/>
      <c r="M97" s="1"/>
      <c r="N97" s="1"/>
      <c r="O97" s="1"/>
      <c r="P97" s="83"/>
      <c r="Q97" s="71"/>
      <c r="R97" s="71"/>
      <c r="S97" s="71"/>
      <c r="T97" s="71"/>
      <c r="U97" s="84"/>
      <c r="V97" s="1"/>
      <c r="W97" s="1"/>
      <c r="X97" s="1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</row>
    <row r="98" ht="18.0" customHeight="1">
      <c r="A98" s="1"/>
      <c r="B98" s="1"/>
      <c r="C98" s="1"/>
      <c r="D98" s="1"/>
      <c r="E98" s="1"/>
      <c r="F98" s="1"/>
      <c r="G98" s="85"/>
      <c r="H98" s="86"/>
      <c r="I98" s="87"/>
      <c r="J98" s="33" t="s">
        <v>30</v>
      </c>
      <c r="K98" s="33" t="s">
        <v>31</v>
      </c>
      <c r="L98" s="34" t="s">
        <v>51</v>
      </c>
      <c r="M98" s="1"/>
      <c r="N98" s="1"/>
      <c r="O98" s="1"/>
      <c r="P98" s="85"/>
      <c r="Q98" s="86"/>
      <c r="R98" s="87"/>
      <c r="S98" s="33" t="s">
        <v>30</v>
      </c>
      <c r="T98" s="33" t="s">
        <v>31</v>
      </c>
      <c r="U98" s="34" t="s">
        <v>51</v>
      </c>
      <c r="V98" s="1"/>
      <c r="W98" s="1"/>
      <c r="X98" s="1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</row>
    <row r="99" ht="18.0" customHeight="1">
      <c r="A99" s="1"/>
      <c r="B99" s="1"/>
      <c r="C99" s="1"/>
      <c r="D99" s="1"/>
      <c r="E99" s="1"/>
      <c r="F99" s="1"/>
      <c r="G99" s="88" t="s">
        <v>52</v>
      </c>
      <c r="H99" s="89"/>
      <c r="I99" s="90"/>
      <c r="J99" s="56" t="str">
        <f>((COS(PI()*K6*H81/M6/G6))^2)*((SIN(PI()*I6*H81/M6/G6))^2)/(PI()*I6*H81/M6/G6)^2</f>
        <v>#DIV/0!</v>
      </c>
      <c r="K99" s="91" t="str">
        <f> (I96+J96)/2/H96</f>
        <v>#DIV/0!</v>
      </c>
      <c r="L99" s="92" t="str">
        <f> ABS(K99-J99)/J99*100</f>
        <v>#DIV/0!</v>
      </c>
      <c r="M99" s="1"/>
      <c r="N99" s="1"/>
      <c r="O99" s="1"/>
      <c r="P99" s="88" t="s">
        <v>52</v>
      </c>
      <c r="Q99" s="89"/>
      <c r="R99" s="90"/>
      <c r="S99" s="56" t="str">
        <f>((COS(PI()*T6*Q81/V6/P6))^2)*((SIN(PI()*R6*Q81/V6/P6))^2)/(PI()*R6*Q81/V6/P6)^2</f>
        <v>#DIV/0!</v>
      </c>
      <c r="T99" s="91" t="str">
        <f> (R96+S96)/2/Q96</f>
        <v>#DIV/0!</v>
      </c>
      <c r="U99" s="92" t="str">
        <f> ABS(T99-S99)/S99*100</f>
        <v>#DIV/0!</v>
      </c>
      <c r="V99" s="1"/>
      <c r="W99" s="1"/>
      <c r="X99" s="1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</row>
    <row r="100" ht="18.0" customHeight="1">
      <c r="A100" s="1"/>
      <c r="B100" s="1"/>
      <c r="C100" s="1"/>
      <c r="D100" s="1"/>
      <c r="E100" s="1"/>
      <c r="F100" s="1"/>
      <c r="G100" s="9"/>
      <c r="H100" s="93"/>
      <c r="I100" s="10"/>
      <c r="J100" s="57"/>
      <c r="K100" s="57"/>
      <c r="L100" s="79"/>
      <c r="M100" s="1"/>
      <c r="N100" s="1"/>
      <c r="O100" s="1"/>
      <c r="P100" s="9"/>
      <c r="Q100" s="93"/>
      <c r="R100" s="10"/>
      <c r="S100" s="57"/>
      <c r="T100" s="57"/>
      <c r="U100" s="79"/>
      <c r="V100" s="1"/>
      <c r="W100" s="1"/>
      <c r="X100" s="1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</row>
    <row r="101" ht="18.0" customHeight="1">
      <c r="A101" s="1"/>
      <c r="B101" s="1"/>
      <c r="C101" s="1"/>
      <c r="D101" s="1"/>
      <c r="E101" s="1"/>
      <c r="F101" s="1"/>
      <c r="G101" s="88" t="s">
        <v>53</v>
      </c>
      <c r="H101" s="89"/>
      <c r="I101" s="90"/>
      <c r="J101" s="56" t="str">
        <f>((COS(PI()*K6*I81/M6/G6))^2)*((SIN(PI()*I6*I81/M6/G6))^2)/(PI()*I6*I81/M6/G6)^2</f>
        <v>#DIV/0!</v>
      </c>
      <c r="K101" s="91" t="str">
        <f> (K96+L96)/2/H96</f>
        <v>#DIV/0!</v>
      </c>
      <c r="L101" s="92" t="str">
        <f> ABS(K101-J101)/J101*100</f>
        <v>#DIV/0!</v>
      </c>
      <c r="M101" s="1"/>
      <c r="N101" s="1"/>
      <c r="O101" s="1"/>
      <c r="P101" s="88" t="s">
        <v>53</v>
      </c>
      <c r="Q101" s="89"/>
      <c r="R101" s="90"/>
      <c r="S101" s="56" t="str">
        <f>((COS(PI()*T6*R81/V6/P6))^2)*((SIN(PI()*R6*R81/V6/P6))^2)/(PI()*R6*R81/V6/P6)^2</f>
        <v>#DIV/0!</v>
      </c>
      <c r="T101" s="91" t="str">
        <f> (T96+U96)/2/Q96</f>
        <v>#DIV/0!</v>
      </c>
      <c r="U101" s="92" t="str">
        <f> ABS(T101-S101)/S101*100</f>
        <v>#DIV/0!</v>
      </c>
      <c r="V101" s="1"/>
      <c r="W101" s="1"/>
      <c r="X101" s="1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</row>
    <row r="102" ht="18.0" customHeight="1">
      <c r="A102" s="1"/>
      <c r="B102" s="1"/>
      <c r="C102" s="1"/>
      <c r="D102" s="1"/>
      <c r="E102" s="1"/>
      <c r="F102" s="1"/>
      <c r="G102" s="9"/>
      <c r="H102" s="93"/>
      <c r="I102" s="10"/>
      <c r="J102" s="57"/>
      <c r="K102" s="57"/>
      <c r="L102" s="79"/>
      <c r="M102" s="1"/>
      <c r="N102" s="1"/>
      <c r="O102" s="1"/>
      <c r="P102" s="68"/>
      <c r="Q102" s="94"/>
      <c r="R102" s="69"/>
      <c r="S102" s="71"/>
      <c r="T102" s="71"/>
      <c r="U102" s="84"/>
      <c r="V102" s="1"/>
      <c r="W102" s="1"/>
      <c r="X102" s="1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</row>
    <row r="103" ht="18.0" customHeight="1">
      <c r="A103" s="1"/>
      <c r="B103" s="1"/>
      <c r="C103" s="1"/>
      <c r="D103" s="1"/>
      <c r="E103" s="1"/>
      <c r="F103" s="1"/>
      <c r="G103" s="1"/>
      <c r="H103" s="1"/>
      <c r="I103" s="95" t="s">
        <v>54</v>
      </c>
      <c r="J103" s="96"/>
      <c r="K103" s="97" t="s">
        <v>55</v>
      </c>
      <c r="L103" s="96"/>
      <c r="M103" s="1"/>
      <c r="N103" s="1"/>
      <c r="O103" s="1"/>
      <c r="P103" s="1"/>
      <c r="Q103" s="1"/>
      <c r="R103" s="95" t="s">
        <v>54</v>
      </c>
      <c r="S103" s="96"/>
      <c r="T103" s="97" t="s">
        <v>55</v>
      </c>
      <c r="U103" s="96"/>
      <c r="V103" s="1"/>
      <c r="W103" s="1"/>
      <c r="X103" s="1"/>
      <c r="Y103" s="1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</row>
    <row r="104" ht="18.0" customHeight="1">
      <c r="A104" s="1"/>
      <c r="B104" s="1"/>
      <c r="C104" s="1"/>
      <c r="D104" s="1"/>
      <c r="E104" s="1"/>
      <c r="F104" s="1"/>
      <c r="G104" s="1"/>
      <c r="H104" s="1" t="s">
        <v>30</v>
      </c>
      <c r="I104" s="1" t="str">
        <f>H96*J99</f>
        <v>#DIV/0!</v>
      </c>
      <c r="K104" s="1" t="str">
        <f>H96*J101</f>
        <v>#DIV/0!</v>
      </c>
      <c r="M104" s="1"/>
      <c r="N104" s="1"/>
      <c r="O104" s="1"/>
      <c r="P104" s="1"/>
      <c r="Q104" s="1" t="s">
        <v>30</v>
      </c>
      <c r="R104" s="1" t="str">
        <f>Q96*S99</f>
        <v>#DIV/0!</v>
      </c>
      <c r="T104" s="1" t="str">
        <f>Q96*S101</f>
        <v>#DIV/0!</v>
      </c>
      <c r="V104" s="1"/>
      <c r="W104" s="1"/>
      <c r="X104" s="1"/>
      <c r="Y104" s="1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</row>
    <row r="105" ht="18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</row>
    <row r="106" ht="18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ht="18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ht="18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ht="18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ht="18.0" customHeight="1">
      <c r="A110" s="1"/>
      <c r="B110" s="1"/>
      <c r="C110" s="1"/>
      <c r="D110" s="1"/>
      <c r="E110" s="98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ht="18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ht="18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ht="18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ht="18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ht="18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ht="18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ht="18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ht="18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ht="18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ht="18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ht="18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ht="18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ht="18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ht="18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ht="18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ht="18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ht="18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ht="18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ht="18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ht="18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ht="18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ht="18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ht="18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ht="18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ht="18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ht="18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ht="18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ht="18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ht="18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ht="18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ht="18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ht="18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ht="18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ht="18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ht="18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ht="18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ht="18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ht="18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ht="18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ht="18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ht="18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ht="18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ht="18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ht="18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ht="18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ht="18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ht="18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ht="18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ht="18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ht="18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ht="18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ht="18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ht="18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ht="18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ht="18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ht="18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ht="18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ht="18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ht="18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ht="18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ht="18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ht="18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ht="18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ht="18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 ht="18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ht="18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ht="18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ht="18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ht="18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 ht="18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ht="18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ht="18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ht="18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ht="18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ht="18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ht="18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ht="18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ht="18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ht="18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ht="18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ht="18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ht="18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ht="18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ht="18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ht="18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ht="18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ht="18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ht="18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ht="18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ht="18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ht="18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ht="18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ht="18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ht="18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ht="18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ht="18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ht="18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ht="18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 ht="18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 ht="18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ht="18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ht="18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ht="18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ht="18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ht="18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ht="18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 ht="18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 ht="18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 ht="18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ht="18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ht="18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ht="18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 ht="18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 ht="18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ht="18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ht="18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ht="18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 ht="18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ht="18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 ht="18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ht="18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 ht="18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ht="18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 ht="18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ht="18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ht="18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ht="18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 ht="18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ht="18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 ht="18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 ht="18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ht="18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ht="18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ht="18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ht="18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ht="18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 ht="18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 ht="18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ht="18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ht="18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ht="18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 ht="18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 ht="18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 ht="18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 ht="18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ht="18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 ht="18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 ht="18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 ht="18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 ht="18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 ht="18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 ht="18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 ht="18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 ht="18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 ht="18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 ht="18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 ht="18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 ht="18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 ht="18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 ht="18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 ht="18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 ht="18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 ht="18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 ht="18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 ht="18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 ht="18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 ht="18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 ht="18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 ht="18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 ht="18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 ht="18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 ht="18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 ht="18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 ht="18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 ht="18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 ht="18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 ht="18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 ht="18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 ht="18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 ht="18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 ht="18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 ht="18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 ht="18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 ht="18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 ht="18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 ht="18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 ht="18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 ht="18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 ht="18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 ht="18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 ht="18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 ht="18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 ht="18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 ht="18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 ht="18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 ht="18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 ht="18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 ht="18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 ht="18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 ht="18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 ht="18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 ht="18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 ht="18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 ht="18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 ht="18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 ht="18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 ht="18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 ht="18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 ht="18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 ht="18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 ht="18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 ht="18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 ht="18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 ht="18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 ht="18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 ht="18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 ht="18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 ht="18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 ht="18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 ht="18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 ht="18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 ht="18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 ht="18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 ht="18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 ht="18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 ht="18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 ht="18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 ht="18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 ht="18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 ht="18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 ht="18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 ht="18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 ht="18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 ht="18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 ht="18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 ht="18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 ht="18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 ht="18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 ht="18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 ht="18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 ht="18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 ht="18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 ht="18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 ht="18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 ht="18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 ht="18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 ht="18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 ht="18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 ht="18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 ht="18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 ht="18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 ht="18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 ht="18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 ht="18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 ht="18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 ht="18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 ht="18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 ht="18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 ht="18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 ht="18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 ht="18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 ht="18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 ht="18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 ht="18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 ht="18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 ht="18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 ht="18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 ht="18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 ht="18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 ht="18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 ht="18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 ht="18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 ht="18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 ht="18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 ht="18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 ht="18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 ht="18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 ht="18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 ht="18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 ht="18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 ht="18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 ht="18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 ht="18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 ht="18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 ht="18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 ht="18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 ht="18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 ht="18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 ht="18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 ht="18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 ht="18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 ht="18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 ht="18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 ht="18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 ht="18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 ht="18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 ht="18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 ht="18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 ht="18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 ht="18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</row>
    <row r="411" ht="18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 ht="18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</row>
    <row r="413" ht="18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</row>
    <row r="414" ht="18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</row>
    <row r="415" ht="18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</row>
    <row r="416" ht="18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</row>
    <row r="417" ht="18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</row>
    <row r="418" ht="18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</row>
    <row r="419" ht="18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</row>
    <row r="420" ht="18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</row>
    <row r="421" ht="18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</row>
    <row r="422" ht="18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 ht="18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</row>
    <row r="424" ht="18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</row>
    <row r="425" ht="18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</row>
    <row r="426" ht="18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</row>
    <row r="427" ht="18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</row>
    <row r="428" ht="18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 ht="18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</row>
    <row r="430" ht="18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</row>
    <row r="431" ht="18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</row>
    <row r="432" ht="18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</row>
    <row r="433" ht="18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</row>
    <row r="434" ht="18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</row>
    <row r="435" ht="18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</row>
    <row r="436" ht="18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</row>
    <row r="437" ht="18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</row>
    <row r="438" ht="18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</row>
    <row r="439" ht="18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</row>
    <row r="440" ht="18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  <row r="441" ht="18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</row>
    <row r="442" ht="18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</row>
    <row r="443" ht="18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</row>
    <row r="444" ht="18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</row>
    <row r="445" ht="18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</row>
    <row r="446" ht="18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</row>
    <row r="447" ht="18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 ht="18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 ht="18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 ht="18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</row>
    <row r="451" ht="18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</row>
    <row r="452" ht="18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</row>
    <row r="453" ht="18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</row>
    <row r="454" ht="18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</row>
    <row r="455" ht="18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</row>
    <row r="456" ht="18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</row>
    <row r="457" ht="18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</row>
    <row r="458" ht="18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</row>
    <row r="459" ht="18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</row>
    <row r="460" ht="18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</row>
    <row r="461" ht="18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</row>
    <row r="462" ht="18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</row>
    <row r="463" ht="18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</row>
    <row r="464" ht="18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</row>
    <row r="465" ht="18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</row>
    <row r="466" ht="18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</row>
    <row r="467" ht="18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</row>
    <row r="468" ht="18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</row>
    <row r="469" ht="18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 ht="18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 ht="18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</row>
    <row r="472" ht="18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</row>
    <row r="473" ht="18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</row>
    <row r="474" ht="18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</row>
    <row r="475" ht="18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</row>
    <row r="476" ht="18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</row>
    <row r="477" ht="18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</row>
    <row r="478" ht="18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</row>
    <row r="479" ht="18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</row>
    <row r="480" ht="18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</row>
    <row r="481" ht="18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</row>
    <row r="482" ht="18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</row>
    <row r="483" ht="18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</row>
    <row r="484" ht="18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</row>
    <row r="485" ht="18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</row>
    <row r="486" ht="18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</row>
    <row r="487" ht="18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</row>
    <row r="488" ht="18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</row>
    <row r="489" ht="18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</row>
    <row r="490" ht="18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</row>
    <row r="491" ht="18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</row>
    <row r="492" ht="18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</row>
    <row r="493" ht="18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</row>
    <row r="494" ht="18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</row>
    <row r="495" ht="18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</row>
    <row r="496" ht="18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</row>
    <row r="497" ht="18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</row>
    <row r="498" ht="18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</row>
    <row r="499" ht="18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</row>
    <row r="500" ht="18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</row>
    <row r="501" ht="18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</row>
    <row r="502" ht="18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</row>
    <row r="503" ht="18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</row>
    <row r="504" ht="18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</row>
    <row r="505" ht="18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</row>
    <row r="506" ht="18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</row>
    <row r="507" ht="18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</row>
    <row r="508" ht="18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</row>
    <row r="509" ht="18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</row>
    <row r="510" ht="18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</row>
    <row r="511" ht="18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</row>
    <row r="512" ht="18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</row>
    <row r="513" ht="18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</row>
    <row r="514" ht="18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</row>
    <row r="515" ht="18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</row>
    <row r="516" ht="18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</row>
    <row r="517" ht="18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</row>
    <row r="518" ht="18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</row>
    <row r="519" ht="18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</row>
    <row r="520" ht="18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</row>
    <row r="521" ht="18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</row>
    <row r="522" ht="18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</row>
    <row r="523" ht="18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</row>
    <row r="524" ht="18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</row>
    <row r="525" ht="18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</row>
    <row r="526" ht="18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</row>
    <row r="527" ht="18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</row>
    <row r="528" ht="18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</row>
    <row r="529" ht="18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</row>
    <row r="530" ht="18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</row>
    <row r="531" ht="18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</row>
    <row r="532" ht="18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</row>
    <row r="533" ht="18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</row>
    <row r="534" ht="18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</row>
    <row r="535" ht="18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</row>
    <row r="536" ht="18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</row>
    <row r="537" ht="18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</row>
    <row r="538" ht="18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</row>
    <row r="539" ht="18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</row>
    <row r="540" ht="18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</row>
    <row r="541" ht="18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</row>
    <row r="542" ht="18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</row>
    <row r="543" ht="18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</row>
    <row r="544" ht="18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</row>
    <row r="545" ht="18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</row>
    <row r="546" ht="18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</row>
    <row r="547" ht="18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</row>
    <row r="548" ht="18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</row>
    <row r="549" ht="18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</row>
    <row r="550" ht="18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</row>
    <row r="551" ht="18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</row>
    <row r="552" ht="18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</row>
    <row r="553" ht="18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</row>
    <row r="554" ht="18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</row>
    <row r="555" ht="18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</row>
    <row r="556" ht="18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</row>
    <row r="557" ht="18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</row>
    <row r="558" ht="18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</row>
    <row r="559" ht="18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</row>
    <row r="560" ht="18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</row>
    <row r="561" ht="18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</row>
    <row r="562" ht="18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</row>
    <row r="563" ht="18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</row>
    <row r="564" ht="18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</row>
    <row r="565" ht="18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</row>
    <row r="566" ht="18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</row>
    <row r="567" ht="18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</row>
    <row r="568" ht="18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</row>
    <row r="569" ht="18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</row>
    <row r="570" ht="18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</row>
    <row r="571" ht="18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</row>
    <row r="572" ht="18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</row>
    <row r="573" ht="18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</row>
    <row r="574" ht="18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</row>
    <row r="575" ht="18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</row>
    <row r="576" ht="18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</row>
    <row r="577" ht="18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</row>
    <row r="578" ht="18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</row>
    <row r="579" ht="18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</row>
    <row r="580" ht="18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</row>
    <row r="581" ht="18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</row>
    <row r="582" ht="18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</row>
    <row r="583" ht="18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</row>
    <row r="584" ht="18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</row>
    <row r="585" ht="18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</row>
    <row r="586" ht="18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</row>
    <row r="587" ht="18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</row>
    <row r="588" ht="18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</row>
    <row r="589" ht="18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</row>
    <row r="590" ht="18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</row>
    <row r="591" ht="18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</row>
    <row r="592" ht="18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</row>
    <row r="593" ht="18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</row>
    <row r="594" ht="18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</row>
    <row r="595" ht="18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</row>
    <row r="596" ht="18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</row>
    <row r="597" ht="18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</row>
    <row r="598" ht="18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</row>
    <row r="599" ht="18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</row>
    <row r="600" ht="18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</row>
    <row r="601" ht="18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</row>
    <row r="602" ht="18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</row>
    <row r="603" ht="18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</row>
    <row r="604" ht="18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</row>
    <row r="605" ht="18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</row>
    <row r="606" ht="18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</row>
    <row r="607" ht="18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</row>
    <row r="608" ht="18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</row>
    <row r="609" ht="18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</row>
    <row r="610" ht="18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</row>
    <row r="611" ht="18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</row>
    <row r="612" ht="18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</row>
    <row r="613" ht="18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</row>
    <row r="614" ht="18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</row>
    <row r="615" ht="18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</row>
    <row r="616" ht="18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</row>
    <row r="617" ht="18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</row>
    <row r="618" ht="18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</row>
    <row r="619" ht="18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</row>
    <row r="620" ht="18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</row>
    <row r="621" ht="18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</row>
    <row r="622" ht="18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</row>
    <row r="623" ht="18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</row>
    <row r="624" ht="18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</row>
    <row r="625" ht="18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</row>
    <row r="626" ht="18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</row>
    <row r="627" ht="18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</row>
    <row r="628" ht="18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</row>
    <row r="629" ht="18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</row>
    <row r="630" ht="18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</row>
    <row r="631" ht="18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</row>
    <row r="632" ht="18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</row>
    <row r="633" ht="18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</row>
    <row r="634" ht="18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</row>
    <row r="635" ht="18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</row>
    <row r="636" ht="18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</row>
    <row r="637" ht="18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</row>
    <row r="638" ht="18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</row>
    <row r="639" ht="18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</row>
    <row r="640" ht="18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</row>
    <row r="641" ht="18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</row>
    <row r="642" ht="18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</row>
    <row r="643" ht="18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</row>
    <row r="644" ht="18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</row>
    <row r="645" ht="18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</row>
    <row r="646" ht="18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</row>
    <row r="647" ht="18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</row>
    <row r="648" ht="18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</row>
    <row r="649" ht="18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</row>
    <row r="650" ht="18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</row>
    <row r="651" ht="18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</row>
    <row r="652" ht="18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</row>
    <row r="653" ht="18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</row>
    <row r="654" ht="18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</row>
    <row r="655" ht="18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</row>
    <row r="656" ht="18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</row>
    <row r="657" ht="18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</row>
    <row r="658" ht="18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</row>
    <row r="659" ht="18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</row>
    <row r="660" ht="18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</row>
    <row r="661" ht="18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</row>
    <row r="662" ht="18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</row>
    <row r="663" ht="18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</row>
    <row r="664" ht="18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</row>
    <row r="665" ht="18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</row>
    <row r="666" ht="18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</row>
    <row r="667" ht="18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</row>
    <row r="668" ht="18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</row>
    <row r="669" ht="18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</row>
    <row r="670" ht="18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</row>
    <row r="671" ht="18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</row>
    <row r="672" ht="18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</row>
    <row r="673" ht="18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</row>
    <row r="674" ht="18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</row>
    <row r="675" ht="18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</row>
    <row r="676" ht="18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</row>
    <row r="677" ht="18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</row>
    <row r="678" ht="18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</row>
    <row r="679" ht="18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</row>
    <row r="680" ht="18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</row>
    <row r="681" ht="18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</row>
    <row r="682" ht="18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</row>
    <row r="683" ht="18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</row>
    <row r="684" ht="18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</row>
    <row r="685" ht="18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</row>
    <row r="686" ht="18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</row>
    <row r="687" ht="18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</row>
    <row r="688" ht="18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</row>
    <row r="689" ht="18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</row>
    <row r="690" ht="18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</row>
    <row r="691" ht="18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</row>
    <row r="692" ht="18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</row>
    <row r="693" ht="18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</row>
    <row r="694" ht="18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</row>
    <row r="695" ht="18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</row>
    <row r="696" ht="18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</row>
    <row r="697" ht="18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</row>
    <row r="698" ht="18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</row>
    <row r="699" ht="18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</row>
    <row r="700" ht="18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</row>
    <row r="701" ht="18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</row>
    <row r="702" ht="18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</row>
    <row r="703" ht="18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</row>
    <row r="704" ht="18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</row>
    <row r="705" ht="18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</row>
    <row r="706" ht="18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</row>
    <row r="707" ht="18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</row>
    <row r="708" ht="18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</row>
    <row r="709" ht="18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</row>
    <row r="710" ht="18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</row>
    <row r="711" ht="18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</row>
    <row r="712" ht="18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</row>
    <row r="713" ht="18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</row>
    <row r="714" ht="18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</row>
    <row r="715" ht="18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</row>
    <row r="716" ht="18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</row>
    <row r="717" ht="18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</row>
    <row r="718" ht="18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</row>
    <row r="719" ht="18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</row>
    <row r="720" ht="18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</row>
    <row r="721" ht="18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</row>
    <row r="722" ht="18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</row>
    <row r="723" ht="18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</row>
    <row r="724" ht="18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</row>
    <row r="725" ht="18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</row>
    <row r="726" ht="18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</row>
    <row r="727" ht="18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</row>
    <row r="728" ht="18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</row>
    <row r="729" ht="18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</row>
    <row r="730" ht="18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</row>
    <row r="731" ht="18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</row>
    <row r="732" ht="18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</row>
    <row r="733" ht="18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</row>
    <row r="734" ht="18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</row>
    <row r="735" ht="18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</row>
    <row r="736" ht="18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</row>
    <row r="737" ht="18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</row>
    <row r="738" ht="18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</row>
    <row r="739" ht="18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</row>
    <row r="740" ht="18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</row>
    <row r="741" ht="18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</row>
    <row r="742" ht="18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</row>
    <row r="743" ht="18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</row>
    <row r="744" ht="18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</row>
    <row r="745" ht="18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</row>
    <row r="746" ht="18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</row>
    <row r="747" ht="18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</row>
    <row r="748" ht="18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</row>
    <row r="749" ht="18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</row>
    <row r="750" ht="18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</row>
    <row r="751" ht="18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</row>
    <row r="752" ht="18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</row>
    <row r="753" ht="18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</row>
    <row r="754" ht="18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</row>
    <row r="755" ht="18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</row>
    <row r="756" ht="18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</row>
    <row r="757" ht="18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</row>
    <row r="758" ht="18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</row>
    <row r="759" ht="18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</row>
    <row r="760" ht="18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</row>
    <row r="761" ht="18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</row>
    <row r="762" ht="18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</row>
    <row r="763" ht="18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</row>
    <row r="764" ht="18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</row>
    <row r="765" ht="18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</row>
    <row r="766" ht="18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</row>
    <row r="767" ht="18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</row>
    <row r="768" ht="18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</row>
    <row r="769" ht="18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</row>
    <row r="770" ht="18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</row>
    <row r="771" ht="18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</row>
    <row r="772" ht="18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</row>
    <row r="773" ht="18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</row>
    <row r="774" ht="18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</row>
    <row r="775" ht="18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</row>
    <row r="776" ht="18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</row>
    <row r="777" ht="18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</row>
    <row r="778" ht="18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</row>
    <row r="779" ht="18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</row>
    <row r="780" ht="18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</row>
    <row r="781" ht="18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</row>
    <row r="782" ht="18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</row>
    <row r="783" ht="18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</row>
    <row r="784" ht="18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</row>
    <row r="785" ht="18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</row>
    <row r="786" ht="18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</row>
    <row r="787" ht="18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</row>
    <row r="788" ht="18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</row>
    <row r="789" ht="18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</row>
    <row r="790" ht="18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</row>
    <row r="791" ht="18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</row>
    <row r="792" ht="18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</row>
    <row r="793" ht="18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</row>
    <row r="794" ht="18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</row>
    <row r="795" ht="18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</row>
    <row r="796" ht="18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</row>
    <row r="797" ht="18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</row>
    <row r="798" ht="18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</row>
    <row r="799" ht="18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</row>
    <row r="800" ht="18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</row>
    <row r="801" ht="18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</row>
    <row r="802" ht="18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</row>
    <row r="803" ht="18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</row>
    <row r="804" ht="18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</row>
    <row r="805" ht="18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</row>
    <row r="806" ht="18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</row>
    <row r="807" ht="18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</row>
    <row r="808" ht="18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</row>
    <row r="809" ht="18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</row>
    <row r="810" ht="18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</row>
    <row r="811" ht="18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</row>
    <row r="812" ht="18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</row>
    <row r="813" ht="18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</row>
    <row r="814" ht="18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</row>
    <row r="815" ht="18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</row>
    <row r="816" ht="18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</row>
    <row r="817" ht="18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</row>
    <row r="818" ht="18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</row>
    <row r="819" ht="18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</row>
    <row r="820" ht="18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</row>
    <row r="821" ht="18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</row>
    <row r="822" ht="18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</row>
    <row r="823" ht="18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</row>
    <row r="824" ht="18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</row>
    <row r="825" ht="18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</row>
    <row r="826" ht="18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</row>
    <row r="827" ht="18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</row>
    <row r="828" ht="18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</row>
    <row r="829" ht="18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</row>
    <row r="830" ht="18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</row>
    <row r="831" ht="18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</row>
    <row r="832" ht="18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</row>
    <row r="833" ht="18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</row>
    <row r="834" ht="18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</row>
    <row r="835" ht="18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</row>
    <row r="836" ht="18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</row>
    <row r="837" ht="18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</row>
    <row r="838" ht="18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</row>
    <row r="839" ht="18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</row>
    <row r="840" ht="18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</row>
    <row r="841" ht="18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</row>
    <row r="842" ht="18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</row>
    <row r="843" ht="18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</row>
    <row r="844" ht="18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</row>
    <row r="845" ht="18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</row>
    <row r="846" ht="18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</row>
    <row r="847" ht="18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</row>
    <row r="848" ht="18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</row>
    <row r="849" ht="18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</row>
    <row r="850" ht="18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</row>
    <row r="851" ht="18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</row>
    <row r="852" ht="18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</row>
    <row r="853" ht="18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</row>
    <row r="854" ht="18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</row>
    <row r="855" ht="18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</row>
    <row r="856" ht="18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</row>
    <row r="857" ht="18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</row>
    <row r="858" ht="18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</row>
    <row r="859" ht="18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</row>
    <row r="860" ht="18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</row>
    <row r="861" ht="18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</row>
    <row r="862" ht="18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</row>
    <row r="863" ht="18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</row>
    <row r="864" ht="18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</row>
    <row r="865" ht="18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</row>
    <row r="866" ht="18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</row>
    <row r="867" ht="18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</row>
    <row r="868" ht="18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</row>
    <row r="869" ht="18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</row>
    <row r="870" ht="18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</row>
    <row r="871" ht="18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</row>
    <row r="872" ht="18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</row>
    <row r="873" ht="18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</row>
    <row r="874" ht="18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</row>
    <row r="875" ht="18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</row>
    <row r="876" ht="18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</row>
    <row r="877" ht="18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</row>
    <row r="878" ht="18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</row>
    <row r="879" ht="18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</row>
    <row r="880" ht="18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</row>
    <row r="881" ht="18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</row>
    <row r="882" ht="18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</row>
    <row r="883" ht="18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</row>
    <row r="884" ht="18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</row>
    <row r="885" ht="18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</row>
    <row r="886" ht="18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</row>
    <row r="887" ht="18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</row>
    <row r="888" ht="18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</row>
    <row r="889" ht="18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</row>
    <row r="890" ht="18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</row>
    <row r="891" ht="18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</row>
    <row r="892" ht="18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</row>
    <row r="893" ht="18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</row>
    <row r="894" ht="18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</row>
    <row r="895" ht="18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</row>
    <row r="896" ht="18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</row>
    <row r="897" ht="18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</row>
    <row r="898" ht="18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</row>
    <row r="899" ht="18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</row>
    <row r="900" ht="18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</row>
    <row r="901" ht="18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</row>
    <row r="902" ht="18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</row>
    <row r="903" ht="18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</row>
    <row r="904" ht="18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</row>
    <row r="905" ht="18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</row>
    <row r="906" ht="18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</row>
    <row r="907" ht="18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</row>
    <row r="908" ht="18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</row>
    <row r="909" ht="18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</row>
    <row r="910" ht="18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</row>
    <row r="911" ht="18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</row>
    <row r="912" ht="18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</row>
    <row r="913" ht="18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</row>
    <row r="914" ht="18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</row>
    <row r="915" ht="18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</row>
    <row r="916" ht="18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</row>
    <row r="917" ht="18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</row>
    <row r="918" ht="18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</row>
    <row r="919" ht="18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</row>
    <row r="920" ht="18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</row>
    <row r="921" ht="18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</row>
    <row r="922" ht="18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</row>
    <row r="923" ht="18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</row>
    <row r="924" ht="18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</row>
    <row r="925" ht="18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</row>
    <row r="926" ht="18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</row>
    <row r="927" ht="18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</row>
    <row r="928" ht="18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</row>
    <row r="929" ht="18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</row>
    <row r="930" ht="18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</row>
    <row r="931" ht="18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</row>
    <row r="932" ht="18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</row>
    <row r="933" ht="18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</row>
    <row r="934" ht="18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</row>
    <row r="935" ht="18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</row>
    <row r="936" ht="18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</row>
    <row r="937" ht="18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</row>
    <row r="938" ht="18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</row>
    <row r="939" ht="18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</row>
    <row r="940" ht="18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</row>
    <row r="941" ht="18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</row>
    <row r="942" ht="18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</row>
    <row r="943" ht="18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</row>
    <row r="944" ht="18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</row>
    <row r="945" ht="18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</row>
    <row r="946" ht="18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</row>
    <row r="947" ht="18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</row>
    <row r="948" ht="18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</row>
    <row r="949" ht="18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</row>
    <row r="950" ht="18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</row>
    <row r="951" ht="18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</row>
    <row r="952" ht="18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</row>
    <row r="953" ht="18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</row>
    <row r="954" ht="18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</row>
    <row r="955" ht="18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</row>
    <row r="956" ht="18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</row>
    <row r="957" ht="18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</row>
    <row r="958" ht="18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</row>
    <row r="959" ht="18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</row>
    <row r="960" ht="18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</row>
    <row r="961" ht="18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</row>
    <row r="962" ht="18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</row>
    <row r="963" ht="18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</row>
    <row r="964" ht="18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</row>
    <row r="965" ht="18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</row>
    <row r="966" ht="18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</row>
    <row r="967" ht="18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</row>
    <row r="968" ht="18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</row>
    <row r="969" ht="18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</row>
    <row r="970" ht="18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</row>
    <row r="971" ht="18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</row>
    <row r="972" ht="18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</row>
    <row r="973" ht="18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</row>
    <row r="974" ht="18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</row>
    <row r="975" ht="18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</row>
    <row r="976" ht="18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</row>
    <row r="977" ht="18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</row>
    <row r="978" ht="18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</row>
    <row r="979" ht="18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</row>
    <row r="980" ht="18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</row>
    <row r="981" ht="18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</row>
    <row r="982" ht="18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</row>
    <row r="983" ht="18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</row>
    <row r="984" ht="18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</row>
    <row r="985" ht="18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</row>
    <row r="986" ht="18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</row>
    <row r="987" ht="18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</row>
    <row r="988" ht="18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</row>
    <row r="989" ht="18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</row>
    <row r="990" ht="18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</row>
    <row r="991" ht="18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</row>
    <row r="992" ht="18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</row>
    <row r="993" ht="18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</row>
    <row r="994" ht="18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</row>
    <row r="995" ht="18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</row>
    <row r="996" ht="18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</row>
    <row r="997" ht="18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</row>
    <row r="998" ht="18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</row>
    <row r="999" ht="18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</row>
    <row r="1000" ht="18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</row>
  </sheetData>
  <mergeCells count="92">
    <mergeCell ref="L85:M85"/>
    <mergeCell ref="L86:M86"/>
    <mergeCell ref="J86:J88"/>
    <mergeCell ref="L87:M87"/>
    <mergeCell ref="L88:M88"/>
    <mergeCell ref="J89:J91"/>
    <mergeCell ref="L89:M89"/>
    <mergeCell ref="L90:M90"/>
    <mergeCell ref="L91:M91"/>
    <mergeCell ref="G89:H91"/>
    <mergeCell ref="G94:G95"/>
    <mergeCell ref="H94:H95"/>
    <mergeCell ref="I94:I95"/>
    <mergeCell ref="J94:J95"/>
    <mergeCell ref="K94:K95"/>
    <mergeCell ref="L94:L95"/>
    <mergeCell ref="G96:G97"/>
    <mergeCell ref="H96:H97"/>
    <mergeCell ref="I96:I97"/>
    <mergeCell ref="J96:J97"/>
    <mergeCell ref="K96:K97"/>
    <mergeCell ref="L96:L97"/>
    <mergeCell ref="G98:I98"/>
    <mergeCell ref="J101:J102"/>
    <mergeCell ref="I103:J103"/>
    <mergeCell ref="I104:J104"/>
    <mergeCell ref="K103:L103"/>
    <mergeCell ref="K104:L104"/>
    <mergeCell ref="G99:I100"/>
    <mergeCell ref="J99:J100"/>
    <mergeCell ref="K99:K100"/>
    <mergeCell ref="L99:L100"/>
    <mergeCell ref="G101:I102"/>
    <mergeCell ref="K101:K102"/>
    <mergeCell ref="L101:L102"/>
    <mergeCell ref="P96:P97"/>
    <mergeCell ref="Q96:Q97"/>
    <mergeCell ref="R96:R97"/>
    <mergeCell ref="S96:S97"/>
    <mergeCell ref="T96:T97"/>
    <mergeCell ref="U96:U97"/>
    <mergeCell ref="P98:R98"/>
    <mergeCell ref="S101:S102"/>
    <mergeCell ref="R103:S103"/>
    <mergeCell ref="R104:S104"/>
    <mergeCell ref="T103:U103"/>
    <mergeCell ref="T104:U104"/>
    <mergeCell ref="P99:R100"/>
    <mergeCell ref="S99:S100"/>
    <mergeCell ref="T99:T100"/>
    <mergeCell ref="U99:U100"/>
    <mergeCell ref="P101:R102"/>
    <mergeCell ref="T101:T102"/>
    <mergeCell ref="U101:U102"/>
    <mergeCell ref="I4:J5"/>
    <mergeCell ref="K4:L5"/>
    <mergeCell ref="M4:N5"/>
    <mergeCell ref="P4:Q5"/>
    <mergeCell ref="R4:S5"/>
    <mergeCell ref="T4:U5"/>
    <mergeCell ref="V4:W5"/>
    <mergeCell ref="T6:U6"/>
    <mergeCell ref="V6:W6"/>
    <mergeCell ref="G4:H5"/>
    <mergeCell ref="G6:H6"/>
    <mergeCell ref="I6:J6"/>
    <mergeCell ref="K6:L6"/>
    <mergeCell ref="M6:N6"/>
    <mergeCell ref="P6:Q6"/>
    <mergeCell ref="R6:S6"/>
    <mergeCell ref="U87:V87"/>
    <mergeCell ref="U88:V88"/>
    <mergeCell ref="U89:V89"/>
    <mergeCell ref="U90:V90"/>
    <mergeCell ref="U91:V91"/>
    <mergeCell ref="G58:L58"/>
    <mergeCell ref="P58:U58"/>
    <mergeCell ref="G85:I85"/>
    <mergeCell ref="P85:R85"/>
    <mergeCell ref="U85:V85"/>
    <mergeCell ref="G86:H88"/>
    <mergeCell ref="U86:V86"/>
    <mergeCell ref="S94:S95"/>
    <mergeCell ref="T94:T95"/>
    <mergeCell ref="U94:U95"/>
    <mergeCell ref="P86:Q88"/>
    <mergeCell ref="S86:S88"/>
    <mergeCell ref="P89:Q91"/>
    <mergeCell ref="S89:S91"/>
    <mergeCell ref="P94:P95"/>
    <mergeCell ref="Q94:Q95"/>
    <mergeCell ref="R94:R9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40" width="7.56"/>
  </cols>
  <sheetData>
    <row r="1" ht="18.0" customHeight="1">
      <c r="A1" s="1"/>
      <c r="B1" s="99" t="s">
        <v>0</v>
      </c>
      <c r="C1" s="1"/>
      <c r="D1" s="1"/>
      <c r="E1" s="1"/>
      <c r="F1" s="1"/>
      <c r="G1" s="1"/>
      <c r="H1" s="1"/>
      <c r="I1" s="1"/>
      <c r="J1" s="1"/>
      <c r="K1" s="1"/>
      <c r="L1" s="99" t="s">
        <v>1</v>
      </c>
      <c r="M1" s="1"/>
      <c r="N1" s="1"/>
      <c r="O1" s="1"/>
      <c r="P1" s="1"/>
      <c r="Q1" s="1"/>
      <c r="R1" s="1"/>
      <c r="S1" s="1"/>
      <c r="T1" s="1"/>
      <c r="U1" s="1"/>
      <c r="V1" s="99"/>
      <c r="W1" s="1"/>
      <c r="X1" s="1"/>
      <c r="Y1" s="1"/>
      <c r="Z1" s="1"/>
      <c r="AA1" s="1"/>
      <c r="AB1" s="1"/>
      <c r="AC1" s="1"/>
      <c r="AD1" s="1"/>
      <c r="AE1" s="1"/>
      <c r="AF1" s="99"/>
      <c r="AG1" s="1"/>
      <c r="AH1" s="1"/>
      <c r="AI1" s="1"/>
      <c r="AJ1" s="1"/>
      <c r="AK1" s="1"/>
      <c r="AL1" s="1"/>
      <c r="AM1" s="1"/>
      <c r="AN1" s="1"/>
    </row>
    <row r="2" ht="18.0" customHeight="1">
      <c r="A2" s="1"/>
      <c r="B2" s="100"/>
      <c r="C2" s="86"/>
      <c r="D2" s="87"/>
      <c r="E2" s="101" t="s">
        <v>31</v>
      </c>
      <c r="F2" s="86"/>
      <c r="G2" s="86"/>
      <c r="H2" s="86"/>
      <c r="I2" s="86"/>
      <c r="J2" s="102"/>
      <c r="K2" s="1"/>
      <c r="L2" s="100"/>
      <c r="M2" s="86"/>
      <c r="N2" s="87"/>
      <c r="O2" s="101" t="s">
        <v>31</v>
      </c>
      <c r="P2" s="86"/>
      <c r="Q2" s="86"/>
      <c r="R2" s="86"/>
      <c r="S2" s="86"/>
      <c r="T2" s="102"/>
      <c r="U2" s="1"/>
      <c r="V2" s="103"/>
      <c r="W2" s="103"/>
      <c r="X2" s="103"/>
      <c r="Y2" s="103"/>
      <c r="Z2" s="103"/>
      <c r="AA2" s="103"/>
      <c r="AB2" s="103"/>
      <c r="AC2" s="103"/>
      <c r="AD2" s="103"/>
      <c r="AE2" s="1"/>
      <c r="AF2" s="103"/>
      <c r="AG2" s="103"/>
      <c r="AH2" s="103"/>
      <c r="AI2" s="103"/>
      <c r="AJ2" s="103"/>
      <c r="AK2" s="103"/>
      <c r="AL2" s="103"/>
      <c r="AM2" s="103"/>
      <c r="AN2" s="103"/>
    </row>
    <row r="3" ht="18.0" customHeight="1">
      <c r="A3" s="1"/>
      <c r="B3" s="100" t="s">
        <v>30</v>
      </c>
      <c r="C3" s="87"/>
      <c r="D3" s="33" t="str">
        <f>'實驗數據'!K6</f>
        <v/>
      </c>
      <c r="E3" s="33" t="s">
        <v>12</v>
      </c>
      <c r="F3" s="33" t="s">
        <v>13</v>
      </c>
      <c r="G3" s="33" t="s">
        <v>15</v>
      </c>
      <c r="H3" s="33" t="s">
        <v>16</v>
      </c>
      <c r="I3" s="33" t="s">
        <v>56</v>
      </c>
      <c r="J3" s="34" t="s">
        <v>56</v>
      </c>
      <c r="K3" s="1"/>
      <c r="L3" s="100" t="s">
        <v>30</v>
      </c>
      <c r="M3" s="87"/>
      <c r="N3" s="33" t="str">
        <f>'實驗數據'!U6</f>
        <v/>
      </c>
      <c r="O3" s="33" t="s">
        <v>12</v>
      </c>
      <c r="P3" s="33" t="s">
        <v>13</v>
      </c>
      <c r="Q3" s="33" t="s">
        <v>15</v>
      </c>
      <c r="R3" s="33" t="s">
        <v>16</v>
      </c>
      <c r="S3" s="33" t="s">
        <v>56</v>
      </c>
      <c r="T3" s="34" t="s">
        <v>56</v>
      </c>
      <c r="U3" s="1"/>
      <c r="V3" s="103"/>
      <c r="W3" s="103"/>
      <c r="X3" s="1"/>
      <c r="Y3" s="1"/>
      <c r="Z3" s="1"/>
      <c r="AA3" s="1"/>
      <c r="AB3" s="1"/>
      <c r="AC3" s="1"/>
      <c r="AD3" s="1"/>
      <c r="AE3" s="1"/>
      <c r="AF3" s="103"/>
      <c r="AG3" s="103"/>
      <c r="AH3" s="1"/>
      <c r="AI3" s="1"/>
      <c r="AJ3" s="1"/>
      <c r="AK3" s="1"/>
      <c r="AL3" s="1"/>
      <c r="AM3" s="1"/>
      <c r="AN3" s="1"/>
    </row>
    <row r="4" ht="18.0" customHeight="1">
      <c r="A4" s="1"/>
      <c r="B4" s="104" t="s">
        <v>38</v>
      </c>
      <c r="C4" s="90"/>
      <c r="D4" s="24" t="s">
        <v>57</v>
      </c>
      <c r="E4" s="24">
        <f> ABS('實驗數據'!$G6*'實驗數據'!$M6/'實驗數據'!H74)</f>
        <v>0.3175</v>
      </c>
      <c r="F4" s="24">
        <f> ABS('實驗數據'!$G6*'實驗數據'!$M6*2/'實驗數據'!I74)</f>
        <v>0.3175</v>
      </c>
      <c r="G4" s="24">
        <f> ABS('實驗數據'!$G6*'實驗數據'!$M6*4/'實驗數據'!K74)</f>
        <v>0.3175</v>
      </c>
      <c r="H4" s="24">
        <f> ABS('實驗數據'!$G6*'實驗數據'!$M6*5/'實驗數據'!L74)</f>
        <v>0.3175</v>
      </c>
      <c r="I4" s="24">
        <f>AVERAGE(E4:H4)</f>
        <v>0.3175</v>
      </c>
      <c r="J4" s="105">
        <f> AVERAGE(I4,I6)</f>
        <v>0.3175</v>
      </c>
      <c r="K4" s="1"/>
      <c r="L4" s="104" t="s">
        <v>38</v>
      </c>
      <c r="M4" s="90"/>
      <c r="N4" s="24" t="s">
        <v>58</v>
      </c>
      <c r="O4" s="24" t="str">
        <f> ABS('實驗數據'!$G6*'實驗數據'!$M6/'實驗數據'!R74)</f>
        <v>#DIV/0!</v>
      </c>
      <c r="P4" s="24" t="str">
        <f> ABS('實驗數據'!$G6*'實驗數據'!$M6*2/'實驗數據'!T74)</f>
        <v>#DIV/0!</v>
      </c>
      <c r="Q4" s="24" t="str">
        <f> ABS('實驗數據'!$G6*'實驗數據'!$M6*4/'實驗數據'!U74)</f>
        <v>#DIV/0!</v>
      </c>
      <c r="R4" s="24" t="str">
        <f> ABS('實驗數據'!$G6*'實驗數據'!$M6*5/'實驗數據'!V74)</f>
        <v>#DIV/0!</v>
      </c>
      <c r="S4" s="24" t="str">
        <f>AVERAGE(O4:R4)</f>
        <v>#DIV/0!</v>
      </c>
      <c r="T4" s="105" t="str">
        <f> AVERAGE(S4,S6)</f>
        <v>#DIV/0!</v>
      </c>
      <c r="U4" s="1"/>
      <c r="V4" s="106"/>
      <c r="W4" s="106"/>
      <c r="X4" s="1"/>
      <c r="Y4" s="1"/>
      <c r="Z4" s="1"/>
      <c r="AA4" s="1"/>
      <c r="AB4" s="1"/>
      <c r="AC4" s="1"/>
      <c r="AD4" s="103"/>
      <c r="AE4" s="1"/>
      <c r="AF4" s="106"/>
      <c r="AG4" s="106"/>
      <c r="AH4" s="1"/>
      <c r="AI4" s="1"/>
      <c r="AJ4" s="1"/>
      <c r="AK4" s="1"/>
      <c r="AL4" s="1"/>
      <c r="AM4" s="1"/>
      <c r="AN4" s="103"/>
    </row>
    <row r="5" ht="18.0" customHeight="1">
      <c r="A5" s="1"/>
      <c r="B5" s="54"/>
      <c r="C5" s="49"/>
      <c r="D5" s="24" t="s">
        <v>51</v>
      </c>
      <c r="E5" s="24" t="str">
        <f t="shared" ref="E5:I5" si="1"> ABS((E4-$D3)/$D3*100)</f>
        <v>#DIV/0!</v>
      </c>
      <c r="F5" s="24" t="str">
        <f t="shared" si="1"/>
        <v>#DIV/0!</v>
      </c>
      <c r="G5" s="24" t="str">
        <f t="shared" si="1"/>
        <v>#DIV/0!</v>
      </c>
      <c r="H5" s="24" t="str">
        <f t="shared" si="1"/>
        <v>#DIV/0!</v>
      </c>
      <c r="I5" s="24" t="str">
        <f t="shared" si="1"/>
        <v>#DIV/0!</v>
      </c>
      <c r="J5" s="107"/>
      <c r="K5" s="1"/>
      <c r="L5" s="54"/>
      <c r="M5" s="49"/>
      <c r="N5" s="24" t="s">
        <v>51</v>
      </c>
      <c r="O5" s="24" t="str">
        <f t="shared" ref="O5:S5" si="2"> ABS((O4-$D3)/$D3*100)</f>
        <v>#DIV/0!</v>
      </c>
      <c r="P5" s="24" t="str">
        <f t="shared" si="2"/>
        <v>#DIV/0!</v>
      </c>
      <c r="Q5" s="24" t="str">
        <f t="shared" si="2"/>
        <v>#DIV/0!</v>
      </c>
      <c r="R5" s="24" t="str">
        <f t="shared" si="2"/>
        <v>#DIV/0!</v>
      </c>
      <c r="S5" s="24" t="str">
        <f t="shared" si="2"/>
        <v>#DIV/0!</v>
      </c>
      <c r="T5" s="107"/>
      <c r="U5" s="1"/>
      <c r="V5" s="106"/>
      <c r="W5" s="106"/>
      <c r="X5" s="1"/>
      <c r="Y5" s="1"/>
      <c r="Z5" s="1"/>
      <c r="AA5" s="1"/>
      <c r="AB5" s="1"/>
      <c r="AC5" s="1"/>
      <c r="AD5" s="103"/>
      <c r="AE5" s="1"/>
      <c r="AF5" s="106"/>
      <c r="AG5" s="106"/>
      <c r="AH5" s="1"/>
      <c r="AI5" s="1"/>
      <c r="AJ5" s="1"/>
      <c r="AK5" s="1"/>
      <c r="AL5" s="1"/>
      <c r="AM5" s="1"/>
      <c r="AN5" s="103"/>
    </row>
    <row r="6" ht="18.0" customHeight="1">
      <c r="A6" s="1"/>
      <c r="B6" s="54"/>
      <c r="C6" s="49"/>
      <c r="D6" s="24" t="s">
        <v>59</v>
      </c>
      <c r="E6" s="24">
        <f> ABS('實驗數據'!$G6*'實驗數據'!$M6/'實驗數據'!H75)</f>
        <v>0.3175</v>
      </c>
      <c r="F6" s="24">
        <f> ABS('實驗數據'!$G6*'實驗數據'!$M6*2/'實驗數據'!I75)</f>
        <v>0.3175</v>
      </c>
      <c r="G6" s="24">
        <f> ABS('實驗數據'!$G6*'實驗數據'!$M6*4/'實驗數據'!K75)</f>
        <v>0.3175</v>
      </c>
      <c r="H6" s="24">
        <f> ABS('實驗數據'!$G6*'實驗數據'!$M6*5/'實驗數據'!L75)</f>
        <v>0.3175</v>
      </c>
      <c r="I6" s="24">
        <f>AVERAGE(E6:H6)</f>
        <v>0.3175</v>
      </c>
      <c r="J6" s="79"/>
      <c r="K6" s="1"/>
      <c r="L6" s="54"/>
      <c r="M6" s="49"/>
      <c r="N6" s="24" t="s">
        <v>60</v>
      </c>
      <c r="O6" s="24" t="str">
        <f> ABS('實驗數據'!$G6*'實驗數據'!$M6/'實驗數據'!R75)</f>
        <v>#DIV/0!</v>
      </c>
      <c r="P6" s="24" t="str">
        <f> ABS('實驗數據'!$G6*'實驗數據'!$M6*2/'實驗數據'!T75)</f>
        <v>#DIV/0!</v>
      </c>
      <c r="Q6" s="24" t="str">
        <f> ABS('實驗數據'!$G6*'實驗數據'!$M6*4/'實驗數據'!U75)</f>
        <v>#DIV/0!</v>
      </c>
      <c r="R6" s="24" t="str">
        <f> ABS('實驗數據'!$G6*'實驗數據'!$M6*5/'實驗數據'!V75)</f>
        <v>#DIV/0!</v>
      </c>
      <c r="S6" s="24" t="str">
        <f>AVERAGE(O6:R6)</f>
        <v>#DIV/0!</v>
      </c>
      <c r="T6" s="79"/>
      <c r="U6" s="1"/>
      <c r="V6" s="106"/>
      <c r="W6" s="106"/>
      <c r="X6" s="1"/>
      <c r="Y6" s="1"/>
      <c r="Z6" s="1"/>
      <c r="AA6" s="1"/>
      <c r="AB6" s="1"/>
      <c r="AC6" s="1"/>
      <c r="AD6" s="103"/>
      <c r="AE6" s="1"/>
      <c r="AF6" s="106"/>
      <c r="AG6" s="106"/>
      <c r="AH6" s="1"/>
      <c r="AI6" s="1"/>
      <c r="AJ6" s="1"/>
      <c r="AK6" s="1"/>
      <c r="AL6" s="1"/>
      <c r="AM6" s="1"/>
      <c r="AN6" s="103"/>
    </row>
    <row r="7" ht="18.0" customHeight="1">
      <c r="A7" s="1"/>
      <c r="B7" s="68"/>
      <c r="C7" s="69"/>
      <c r="D7" s="70" t="s">
        <v>51</v>
      </c>
      <c r="E7" s="70" t="str">
        <f t="shared" ref="E7:I7" si="3"> ABS((E6-$D3)/$D3*100)</f>
        <v>#DIV/0!</v>
      </c>
      <c r="F7" s="70" t="str">
        <f t="shared" si="3"/>
        <v>#DIV/0!</v>
      </c>
      <c r="G7" s="70" t="str">
        <f t="shared" si="3"/>
        <v>#DIV/0!</v>
      </c>
      <c r="H7" s="70" t="str">
        <f t="shared" si="3"/>
        <v>#DIV/0!</v>
      </c>
      <c r="I7" s="70" t="str">
        <f t="shared" si="3"/>
        <v>#DIV/0!</v>
      </c>
      <c r="J7" s="108" t="str">
        <f> ABS((J4-$D3)/$D3*100)</f>
        <v>#DIV/0!</v>
      </c>
      <c r="K7" s="1"/>
      <c r="L7" s="68"/>
      <c r="M7" s="69"/>
      <c r="N7" s="70" t="s">
        <v>51</v>
      </c>
      <c r="O7" s="70" t="str">
        <f t="shared" ref="O7:S7" si="4"> ABS((O6-$D3)/$D3*100)</f>
        <v>#DIV/0!</v>
      </c>
      <c r="P7" s="70" t="str">
        <f t="shared" si="4"/>
        <v>#DIV/0!</v>
      </c>
      <c r="Q7" s="70" t="str">
        <f t="shared" si="4"/>
        <v>#DIV/0!</v>
      </c>
      <c r="R7" s="70" t="str">
        <f t="shared" si="4"/>
        <v>#DIV/0!</v>
      </c>
      <c r="S7" s="70" t="str">
        <f t="shared" si="4"/>
        <v>#DIV/0!</v>
      </c>
      <c r="T7" s="108" t="str">
        <f> ABS((T4-$D3)/$D3*100)</f>
        <v>#DIV/0!</v>
      </c>
      <c r="U7" s="1"/>
      <c r="V7" s="106"/>
      <c r="W7" s="106"/>
      <c r="X7" s="1"/>
      <c r="Y7" s="1"/>
      <c r="Z7" s="1"/>
      <c r="AA7" s="1"/>
      <c r="AB7" s="1"/>
      <c r="AC7" s="1"/>
      <c r="AD7" s="1"/>
      <c r="AE7" s="1"/>
      <c r="AF7" s="106"/>
      <c r="AG7" s="106"/>
      <c r="AH7" s="1"/>
      <c r="AI7" s="1"/>
      <c r="AJ7" s="1"/>
      <c r="AK7" s="1"/>
      <c r="AL7" s="1"/>
      <c r="AM7" s="1"/>
      <c r="AN7" s="1"/>
    </row>
    <row r="8" ht="18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ht="18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ht="18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ht="18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ht="18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ht="18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ht="18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ht="18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ht="18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ht="18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ht="18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ht="18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ht="18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ht="18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ht="18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ht="18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ht="18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ht="18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ht="18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ht="18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ht="18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ht="18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ht="18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ht="18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ht="18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ht="18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ht="18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ht="18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ht="18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ht="18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ht="18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ht="18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ht="18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ht="18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ht="18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ht="18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ht="18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ht="18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ht="18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ht="18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ht="18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ht="18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 ht="18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 ht="18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 ht="18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 ht="18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 ht="18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 ht="18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 ht="18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 ht="18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ht="18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ht="18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ht="18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ht="18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ht="18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ht="18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ht="18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ht="18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ht="18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ht="18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ht="18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ht="18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ht="18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ht="18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ht="18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ht="18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ht="18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ht="18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ht="18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ht="18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 ht="18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ht="18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ht="18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ht="18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ht="18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ht="18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ht="18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ht="18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 ht="18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ht="18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ht="18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 ht="18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ht="18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 ht="18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 ht="18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ht="18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ht="18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 ht="18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 ht="18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 ht="18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 ht="18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 ht="18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  <row r="100" ht="18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</row>
    <row r="101" ht="18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</row>
    <row r="102" ht="18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</row>
    <row r="103" ht="18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</row>
    <row r="104" ht="18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</row>
    <row r="105" ht="18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</row>
    <row r="106" ht="18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</row>
    <row r="107" ht="18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</row>
    <row r="108" ht="18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</row>
    <row r="109" ht="18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</row>
    <row r="110" ht="18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</row>
    <row r="111" ht="18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</row>
    <row r="112" ht="18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</row>
    <row r="113" ht="18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</row>
    <row r="114" ht="18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</row>
    <row r="115" ht="18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</row>
    <row r="116" ht="18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</row>
    <row r="117" ht="18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</row>
    <row r="118" ht="18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</row>
    <row r="119" ht="18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</row>
    <row r="120" ht="18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</row>
    <row r="121" ht="18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</row>
    <row r="122" ht="18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</row>
    <row r="123" ht="18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</row>
    <row r="124" ht="18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</row>
    <row r="125" ht="18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</row>
    <row r="126" ht="18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</row>
    <row r="127" ht="18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</row>
    <row r="128" ht="18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</row>
    <row r="129" ht="18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</row>
    <row r="130" ht="18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</row>
    <row r="131" ht="18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</row>
    <row r="132" ht="18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</row>
    <row r="133" ht="18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</row>
    <row r="134" ht="18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</row>
    <row r="135" ht="18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</row>
    <row r="136" ht="18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</row>
    <row r="137" ht="18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</row>
    <row r="138" ht="18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</row>
    <row r="139" ht="18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 ht="18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</row>
    <row r="141" ht="18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</row>
    <row r="142" ht="18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</row>
    <row r="143" ht="18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</row>
    <row r="144" ht="18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</row>
    <row r="145" ht="18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</row>
    <row r="146" ht="18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</row>
    <row r="147" ht="18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</row>
    <row r="148" ht="18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</row>
    <row r="149" ht="18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</row>
    <row r="150" ht="18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</row>
    <row r="151" ht="18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</row>
    <row r="152" ht="18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 ht="18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</row>
    <row r="154" ht="18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</row>
    <row r="155" ht="18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</row>
    <row r="156" ht="18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</row>
    <row r="157" ht="18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</row>
    <row r="158" ht="18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</row>
    <row r="159" ht="18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</row>
    <row r="160" ht="18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</row>
    <row r="161" ht="18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</row>
    <row r="162" ht="18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</row>
    <row r="163" ht="18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</row>
    <row r="164" ht="18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</row>
    <row r="165" ht="18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</row>
    <row r="166" ht="18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</row>
    <row r="167" ht="18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</row>
    <row r="168" ht="18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</row>
    <row r="169" ht="18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</row>
    <row r="170" ht="18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</row>
    <row r="171" ht="18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</row>
    <row r="172" ht="18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</row>
    <row r="173" ht="18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</row>
    <row r="174" ht="18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</row>
    <row r="175" ht="18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</row>
    <row r="176" ht="18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</row>
    <row r="177" ht="18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</row>
    <row r="178" ht="18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</row>
    <row r="179" ht="18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</row>
    <row r="180" ht="18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</row>
    <row r="181" ht="18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</row>
    <row r="182" ht="18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</row>
    <row r="183" ht="18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</row>
    <row r="184" ht="18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</row>
    <row r="185" ht="18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</row>
    <row r="186" ht="18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</row>
    <row r="187" ht="18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</row>
    <row r="188" ht="18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</row>
    <row r="189" ht="18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</row>
    <row r="190" ht="18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</row>
    <row r="191" ht="18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</row>
    <row r="192" ht="18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</row>
    <row r="193" ht="18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</row>
    <row r="194" ht="18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</row>
    <row r="195" ht="18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</row>
    <row r="196" ht="18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</row>
    <row r="197" ht="18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</row>
    <row r="198" ht="18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</row>
    <row r="199" ht="18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</row>
    <row r="200" ht="18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</row>
    <row r="201" ht="18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</row>
    <row r="202" ht="18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</row>
    <row r="203" ht="18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</row>
    <row r="204" ht="18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</row>
    <row r="205" ht="18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</row>
    <row r="206" ht="18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</row>
    <row r="207" ht="18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</row>
    <row r="208" ht="18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</row>
    <row r="209" ht="18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</row>
    <row r="210" ht="18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</row>
    <row r="211" ht="18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</row>
    <row r="212" ht="18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</row>
    <row r="213" ht="18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</row>
    <row r="214" ht="18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</row>
    <row r="215" ht="18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</row>
    <row r="216" ht="18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</row>
    <row r="217" ht="18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</row>
    <row r="218" ht="18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</row>
    <row r="219" ht="18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</row>
    <row r="220" ht="18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</row>
    <row r="221" ht="18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</row>
    <row r="222" ht="18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</row>
    <row r="223" ht="18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</row>
    <row r="224" ht="18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</row>
    <row r="225" ht="18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</row>
    <row r="226" ht="18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</row>
    <row r="227" ht="18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</row>
    <row r="228" ht="18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</row>
    <row r="229" ht="18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</row>
    <row r="230" ht="18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</row>
    <row r="231" ht="18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</row>
    <row r="232" ht="18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</row>
    <row r="233" ht="18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</row>
    <row r="234" ht="18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</row>
    <row r="235" ht="18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</row>
    <row r="236" ht="18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</row>
    <row r="237" ht="18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</row>
    <row r="238" ht="18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</row>
    <row r="239" ht="18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</row>
    <row r="240" ht="18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</row>
    <row r="241" ht="18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</row>
    <row r="242" ht="18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</row>
    <row r="243" ht="18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</row>
    <row r="244" ht="18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</row>
    <row r="245" ht="18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</row>
    <row r="246" ht="18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</row>
    <row r="247" ht="18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</row>
    <row r="248" ht="18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</row>
    <row r="249" ht="18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</row>
    <row r="250" ht="18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</row>
    <row r="251" ht="18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</row>
    <row r="252" ht="18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</row>
    <row r="253" ht="18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</row>
    <row r="254" ht="18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</row>
    <row r="255" ht="18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</row>
    <row r="256" ht="18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</row>
    <row r="257" ht="18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</row>
    <row r="258" ht="18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</row>
    <row r="259" ht="18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</row>
    <row r="260" ht="18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</row>
    <row r="261" ht="18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</row>
    <row r="262" ht="18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</row>
    <row r="263" ht="18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</row>
    <row r="264" ht="18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</row>
    <row r="265" ht="18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</row>
    <row r="266" ht="18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</row>
    <row r="267" ht="18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</row>
    <row r="268" ht="18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</row>
    <row r="269" ht="18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</row>
    <row r="270" ht="18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</row>
    <row r="271" ht="18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</row>
    <row r="272" ht="18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</row>
    <row r="273" ht="18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</row>
    <row r="274" ht="18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</row>
    <row r="275" ht="18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</row>
    <row r="276" ht="18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</row>
    <row r="277" ht="18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</row>
    <row r="278" ht="18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</row>
    <row r="279" ht="18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</row>
    <row r="280" ht="18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</row>
    <row r="281" ht="18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</row>
    <row r="282" ht="18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</row>
    <row r="283" ht="18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</row>
    <row r="284" ht="18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</row>
    <row r="285" ht="18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</row>
    <row r="286" ht="18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</row>
    <row r="287" ht="18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</row>
    <row r="288" ht="18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</row>
    <row r="289" ht="18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</row>
    <row r="290" ht="18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</row>
    <row r="291" ht="18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</row>
    <row r="292" ht="18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</row>
    <row r="293" ht="18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</row>
    <row r="294" ht="18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</row>
    <row r="295" ht="18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</row>
    <row r="296" ht="18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</row>
    <row r="297" ht="18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</row>
    <row r="298" ht="18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</row>
    <row r="299" ht="18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</row>
    <row r="300" ht="18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</row>
    <row r="301" ht="18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</row>
    <row r="302" ht="18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</row>
    <row r="303" ht="18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</row>
    <row r="304" ht="18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</row>
    <row r="305" ht="18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</row>
    <row r="306" ht="18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</row>
    <row r="307" ht="18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</row>
    <row r="308" ht="18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</row>
    <row r="309" ht="18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</row>
    <row r="310" ht="18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</row>
    <row r="311" ht="18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</row>
    <row r="312" ht="18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</row>
    <row r="313" ht="18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</row>
    <row r="314" ht="18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</row>
    <row r="315" ht="18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</row>
    <row r="316" ht="18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</row>
    <row r="317" ht="18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</row>
    <row r="318" ht="18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</row>
    <row r="319" ht="18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</row>
    <row r="320" ht="18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</row>
    <row r="321" ht="18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</row>
    <row r="322" ht="18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</row>
    <row r="323" ht="18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</row>
    <row r="324" ht="18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</row>
    <row r="325" ht="18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</row>
    <row r="326" ht="18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</row>
    <row r="327" ht="18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</row>
    <row r="328" ht="18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</row>
    <row r="329" ht="18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</row>
    <row r="330" ht="18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</row>
    <row r="331" ht="18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</row>
    <row r="332" ht="18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</row>
    <row r="333" ht="18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</row>
    <row r="334" ht="18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</row>
    <row r="335" ht="18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</row>
    <row r="336" ht="18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</row>
    <row r="337" ht="18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</row>
    <row r="338" ht="18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</row>
    <row r="339" ht="18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</row>
    <row r="340" ht="18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</row>
    <row r="341" ht="18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</row>
    <row r="342" ht="18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</row>
    <row r="343" ht="18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</row>
    <row r="344" ht="18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</row>
    <row r="345" ht="18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</row>
    <row r="346" ht="18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</row>
    <row r="347" ht="18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</row>
    <row r="348" ht="18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</row>
    <row r="349" ht="18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</row>
    <row r="350" ht="18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</row>
    <row r="351" ht="18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</row>
    <row r="352" ht="18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</row>
    <row r="353" ht="18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</row>
    <row r="354" ht="18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</row>
    <row r="355" ht="18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</row>
    <row r="356" ht="18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</row>
    <row r="357" ht="18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</row>
    <row r="358" ht="18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</row>
    <row r="359" ht="18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</row>
    <row r="360" ht="18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</row>
    <row r="361" ht="18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</row>
    <row r="362" ht="18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</row>
    <row r="363" ht="18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</row>
    <row r="364" ht="18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</row>
    <row r="365" ht="18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</row>
    <row r="366" ht="18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</row>
    <row r="367" ht="18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</row>
    <row r="368" ht="18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</row>
    <row r="369" ht="18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</row>
    <row r="370" ht="18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</row>
    <row r="371" ht="18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</row>
    <row r="372" ht="18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</row>
    <row r="373" ht="18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</row>
    <row r="374" ht="18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</row>
    <row r="375" ht="18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</row>
    <row r="376" ht="18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</row>
    <row r="377" ht="18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</row>
    <row r="378" ht="18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</row>
    <row r="379" ht="18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</row>
    <row r="380" ht="18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</row>
    <row r="381" ht="18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</row>
    <row r="382" ht="18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</row>
    <row r="383" ht="18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</row>
    <row r="384" ht="18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</row>
    <row r="385" ht="18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</row>
    <row r="386" ht="18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</row>
    <row r="387" ht="18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</row>
    <row r="388" ht="18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</row>
    <row r="389" ht="18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</row>
    <row r="390" ht="18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</row>
    <row r="391" ht="18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</row>
    <row r="392" ht="18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</row>
    <row r="393" ht="18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</row>
    <row r="394" ht="18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</row>
    <row r="395" ht="18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</row>
    <row r="396" ht="18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</row>
    <row r="397" ht="18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</row>
    <row r="398" ht="18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</row>
    <row r="399" ht="18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</row>
    <row r="400" ht="18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</row>
    <row r="401" ht="18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</row>
    <row r="402" ht="18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</row>
    <row r="403" ht="18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</row>
    <row r="404" ht="18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</row>
    <row r="405" ht="18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</row>
    <row r="406" ht="18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</row>
    <row r="407" ht="18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</row>
    <row r="408" ht="18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</row>
    <row r="409" ht="18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</row>
    <row r="410" ht="18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</row>
    <row r="411" ht="18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</row>
    <row r="412" ht="18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</row>
    <row r="413" ht="18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</row>
    <row r="414" ht="18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</row>
    <row r="415" ht="18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</row>
    <row r="416" ht="18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</row>
    <row r="417" ht="18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</row>
    <row r="418" ht="18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</row>
    <row r="419" ht="18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</row>
    <row r="420" ht="18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</row>
    <row r="421" ht="18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</row>
    <row r="422" ht="18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</row>
    <row r="423" ht="18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</row>
    <row r="424" ht="18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</row>
    <row r="425" ht="18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</row>
    <row r="426" ht="18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</row>
    <row r="427" ht="18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</row>
    <row r="428" ht="18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</row>
    <row r="429" ht="18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</row>
    <row r="430" ht="18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</row>
    <row r="431" ht="18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</row>
    <row r="432" ht="18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</row>
    <row r="433" ht="18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</row>
    <row r="434" ht="18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</row>
    <row r="435" ht="18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</row>
    <row r="436" ht="18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</row>
    <row r="437" ht="18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</row>
    <row r="438" ht="18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</row>
    <row r="439" ht="18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</row>
    <row r="440" ht="18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</row>
    <row r="441" ht="18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</row>
    <row r="442" ht="18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</row>
    <row r="443" ht="18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</row>
    <row r="444" ht="18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</row>
    <row r="445" ht="18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</row>
    <row r="446" ht="18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</row>
    <row r="447" ht="18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</row>
    <row r="448" ht="18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</row>
    <row r="449" ht="18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</row>
    <row r="450" ht="18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</row>
    <row r="451" ht="18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</row>
    <row r="452" ht="18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</row>
    <row r="453" ht="18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</row>
    <row r="454" ht="18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</row>
    <row r="455" ht="18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</row>
    <row r="456" ht="18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</row>
    <row r="457" ht="18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</row>
    <row r="458" ht="18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</row>
    <row r="459" ht="18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</row>
    <row r="460" ht="18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</row>
    <row r="461" ht="18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</row>
    <row r="462" ht="18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</row>
    <row r="463" ht="18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</row>
    <row r="464" ht="18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</row>
    <row r="465" ht="18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</row>
    <row r="466" ht="18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</row>
    <row r="467" ht="18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</row>
    <row r="468" ht="18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</row>
    <row r="469" ht="18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</row>
    <row r="470" ht="18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</row>
    <row r="471" ht="18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</row>
    <row r="472" ht="18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</row>
    <row r="473" ht="18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</row>
    <row r="474" ht="18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</row>
    <row r="475" ht="18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</row>
    <row r="476" ht="18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</row>
    <row r="477" ht="18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</row>
    <row r="478" ht="18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</row>
    <row r="479" ht="18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</row>
    <row r="480" ht="18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</row>
    <row r="481" ht="18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</row>
    <row r="482" ht="18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</row>
    <row r="483" ht="18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</row>
    <row r="484" ht="18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</row>
    <row r="485" ht="18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</row>
    <row r="486" ht="18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</row>
    <row r="487" ht="18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</row>
    <row r="488" ht="18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</row>
    <row r="489" ht="18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</row>
    <row r="490" ht="18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</row>
    <row r="491" ht="18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</row>
    <row r="492" ht="18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</row>
    <row r="493" ht="18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</row>
    <row r="494" ht="18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</row>
    <row r="495" ht="18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</row>
    <row r="496" ht="18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</row>
    <row r="497" ht="18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</row>
    <row r="498" ht="18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</row>
    <row r="499" ht="18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</row>
    <row r="500" ht="18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</row>
    <row r="501" ht="18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</row>
    <row r="502" ht="18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</row>
    <row r="503" ht="18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</row>
    <row r="504" ht="18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</row>
    <row r="505" ht="18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</row>
    <row r="506" ht="18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</row>
    <row r="507" ht="18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</row>
    <row r="508" ht="18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</row>
    <row r="509" ht="18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</row>
    <row r="510" ht="18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</row>
    <row r="511" ht="18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</row>
    <row r="512" ht="18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</row>
    <row r="513" ht="18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</row>
    <row r="514" ht="18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</row>
    <row r="515" ht="18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</row>
    <row r="516" ht="18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</row>
    <row r="517" ht="18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</row>
    <row r="518" ht="18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</row>
    <row r="519" ht="18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</row>
    <row r="520" ht="18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</row>
    <row r="521" ht="18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</row>
    <row r="522" ht="18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</row>
    <row r="523" ht="18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</row>
    <row r="524" ht="18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</row>
    <row r="525" ht="18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</row>
    <row r="526" ht="18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</row>
    <row r="527" ht="18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</row>
    <row r="528" ht="18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</row>
    <row r="529" ht="18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</row>
    <row r="530" ht="18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</row>
    <row r="531" ht="18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</row>
    <row r="532" ht="18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</row>
    <row r="533" ht="18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</row>
    <row r="534" ht="18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</row>
    <row r="535" ht="18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</row>
    <row r="536" ht="18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</row>
    <row r="537" ht="18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</row>
    <row r="538" ht="18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</row>
    <row r="539" ht="18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</row>
    <row r="540" ht="18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</row>
    <row r="541" ht="18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</row>
    <row r="542" ht="18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</row>
    <row r="543" ht="18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</row>
    <row r="544" ht="18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</row>
    <row r="545" ht="18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</row>
    <row r="546" ht="18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</row>
    <row r="547" ht="18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</row>
    <row r="548" ht="18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</row>
    <row r="549" ht="18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</row>
    <row r="550" ht="18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</row>
    <row r="551" ht="18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</row>
    <row r="552" ht="18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</row>
    <row r="553" ht="18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</row>
    <row r="554" ht="18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</row>
    <row r="555" ht="18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</row>
    <row r="556" ht="18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</row>
    <row r="557" ht="18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</row>
    <row r="558" ht="18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</row>
    <row r="559" ht="18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</row>
    <row r="560" ht="18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</row>
    <row r="561" ht="18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</row>
    <row r="562" ht="18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</row>
    <row r="563" ht="18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</row>
    <row r="564" ht="18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</row>
    <row r="565" ht="18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</row>
    <row r="566" ht="18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</row>
    <row r="567" ht="18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</row>
    <row r="568" ht="18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</row>
    <row r="569" ht="18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</row>
    <row r="570" ht="18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</row>
    <row r="571" ht="18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</row>
    <row r="572" ht="18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</row>
    <row r="573" ht="18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</row>
    <row r="574" ht="18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</row>
    <row r="575" ht="18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</row>
    <row r="576" ht="18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</row>
    <row r="577" ht="18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</row>
    <row r="578" ht="18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</row>
    <row r="579" ht="18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</row>
    <row r="580" ht="18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</row>
    <row r="581" ht="18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</row>
    <row r="582" ht="18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</row>
    <row r="583" ht="18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</row>
    <row r="584" ht="18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</row>
    <row r="585" ht="18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</row>
    <row r="586" ht="18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</row>
    <row r="587" ht="18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</row>
    <row r="588" ht="18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</row>
    <row r="589" ht="18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</row>
    <row r="590" ht="18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</row>
    <row r="591" ht="18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</row>
    <row r="592" ht="18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</row>
    <row r="593" ht="18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</row>
    <row r="594" ht="18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</row>
    <row r="595" ht="18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</row>
    <row r="596" ht="18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</row>
    <row r="597" ht="18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</row>
    <row r="598" ht="18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</row>
    <row r="599" ht="18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</row>
    <row r="600" ht="18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</row>
    <row r="601" ht="18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</row>
    <row r="602" ht="18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</row>
    <row r="603" ht="18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</row>
    <row r="604" ht="18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</row>
    <row r="605" ht="18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</row>
    <row r="606" ht="18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</row>
    <row r="607" ht="18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</row>
    <row r="608" ht="18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</row>
    <row r="609" ht="18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</row>
    <row r="610" ht="18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</row>
    <row r="611" ht="18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</row>
    <row r="612" ht="18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</row>
    <row r="613" ht="18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</row>
    <row r="614" ht="18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</row>
    <row r="615" ht="18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</row>
    <row r="616" ht="18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</row>
    <row r="617" ht="18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</row>
    <row r="618" ht="18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</row>
    <row r="619" ht="18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</row>
    <row r="620" ht="18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</row>
    <row r="621" ht="18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</row>
    <row r="622" ht="18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</row>
    <row r="623" ht="18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</row>
    <row r="624" ht="18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</row>
    <row r="625" ht="18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</row>
    <row r="626" ht="18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</row>
    <row r="627" ht="18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</row>
    <row r="628" ht="18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</row>
    <row r="629" ht="18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</row>
    <row r="630" ht="18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</row>
    <row r="631" ht="18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</row>
    <row r="632" ht="18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</row>
    <row r="633" ht="18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</row>
    <row r="634" ht="18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</row>
    <row r="635" ht="18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</row>
    <row r="636" ht="18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</row>
    <row r="637" ht="18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</row>
    <row r="638" ht="18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</row>
    <row r="639" ht="18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</row>
    <row r="640" ht="18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</row>
    <row r="641" ht="18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</row>
    <row r="642" ht="18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</row>
    <row r="643" ht="18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</row>
    <row r="644" ht="18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</row>
    <row r="645" ht="18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</row>
    <row r="646" ht="18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</row>
    <row r="647" ht="18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</row>
    <row r="648" ht="18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</row>
    <row r="649" ht="18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</row>
    <row r="650" ht="18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</row>
    <row r="651" ht="18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</row>
    <row r="652" ht="18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</row>
    <row r="653" ht="18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</row>
    <row r="654" ht="18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</row>
    <row r="655" ht="18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</row>
    <row r="656" ht="18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</row>
    <row r="657" ht="18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</row>
    <row r="658" ht="18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</row>
    <row r="659" ht="18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</row>
    <row r="660" ht="18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</row>
    <row r="661" ht="18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</row>
    <row r="662" ht="18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</row>
    <row r="663" ht="18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</row>
    <row r="664" ht="18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</row>
    <row r="665" ht="18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</row>
    <row r="666" ht="18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</row>
    <row r="667" ht="18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</row>
    <row r="668" ht="18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</row>
    <row r="669" ht="18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</row>
    <row r="670" ht="18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</row>
    <row r="671" ht="18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</row>
    <row r="672" ht="18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</row>
    <row r="673" ht="18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</row>
    <row r="674" ht="18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</row>
    <row r="675" ht="18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</row>
    <row r="676" ht="18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</row>
    <row r="677" ht="18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</row>
    <row r="678" ht="18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</row>
    <row r="679" ht="18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</row>
    <row r="680" ht="18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</row>
    <row r="681" ht="18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</row>
    <row r="682" ht="18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</row>
    <row r="683" ht="18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</row>
    <row r="684" ht="18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</row>
    <row r="685" ht="18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</row>
    <row r="686" ht="18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</row>
    <row r="687" ht="18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</row>
    <row r="688" ht="18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</row>
    <row r="689" ht="18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</row>
    <row r="690" ht="18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</row>
    <row r="691" ht="18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</row>
    <row r="692" ht="18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</row>
    <row r="693" ht="18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</row>
    <row r="694" ht="18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</row>
    <row r="695" ht="18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</row>
    <row r="696" ht="18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</row>
    <row r="697" ht="18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</row>
    <row r="698" ht="18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</row>
    <row r="699" ht="18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</row>
    <row r="700" ht="18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</row>
    <row r="701" ht="18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</row>
    <row r="702" ht="18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</row>
    <row r="703" ht="18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</row>
    <row r="704" ht="18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</row>
    <row r="705" ht="18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</row>
    <row r="706" ht="18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</row>
    <row r="707" ht="18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</row>
    <row r="708" ht="18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</row>
    <row r="709" ht="18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</row>
    <row r="710" ht="18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</row>
    <row r="711" ht="18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</row>
    <row r="712" ht="18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</row>
    <row r="713" ht="18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</row>
    <row r="714" ht="18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</row>
    <row r="715" ht="18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</row>
    <row r="716" ht="18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</row>
    <row r="717" ht="18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</row>
    <row r="718" ht="18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</row>
    <row r="719" ht="18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</row>
    <row r="720" ht="18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</row>
    <row r="721" ht="18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</row>
    <row r="722" ht="18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</row>
    <row r="723" ht="18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</row>
    <row r="724" ht="18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</row>
    <row r="725" ht="18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</row>
    <row r="726" ht="18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</row>
    <row r="727" ht="18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</row>
    <row r="728" ht="18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</row>
    <row r="729" ht="18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</row>
    <row r="730" ht="18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</row>
    <row r="731" ht="18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</row>
    <row r="732" ht="18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</row>
    <row r="733" ht="18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</row>
    <row r="734" ht="18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</row>
    <row r="735" ht="18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</row>
    <row r="736" ht="18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</row>
    <row r="737" ht="18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</row>
    <row r="738" ht="18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</row>
    <row r="739" ht="18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</row>
    <row r="740" ht="18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</row>
    <row r="741" ht="18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</row>
    <row r="742" ht="18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</row>
    <row r="743" ht="18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</row>
    <row r="744" ht="18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</row>
    <row r="745" ht="18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</row>
    <row r="746" ht="18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</row>
    <row r="747" ht="18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</row>
    <row r="748" ht="18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</row>
    <row r="749" ht="18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</row>
    <row r="750" ht="18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</row>
    <row r="751" ht="18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</row>
    <row r="752" ht="18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</row>
    <row r="753" ht="18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</row>
    <row r="754" ht="18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</row>
    <row r="755" ht="18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</row>
    <row r="756" ht="18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</row>
    <row r="757" ht="18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</row>
    <row r="758" ht="18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</row>
    <row r="759" ht="18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</row>
    <row r="760" ht="18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</row>
    <row r="761" ht="18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</row>
    <row r="762" ht="18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</row>
    <row r="763" ht="18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</row>
    <row r="764" ht="18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</row>
    <row r="765" ht="18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</row>
    <row r="766" ht="18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</row>
    <row r="767" ht="18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</row>
    <row r="768" ht="18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</row>
    <row r="769" ht="18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</row>
    <row r="770" ht="18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</row>
    <row r="771" ht="18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</row>
    <row r="772" ht="18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</row>
    <row r="773" ht="18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</row>
    <row r="774" ht="18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</row>
    <row r="775" ht="18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</row>
    <row r="776" ht="18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</row>
    <row r="777" ht="18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</row>
    <row r="778" ht="18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</row>
    <row r="779" ht="18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</row>
    <row r="780" ht="18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</row>
    <row r="781" ht="18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</row>
    <row r="782" ht="18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</row>
    <row r="783" ht="18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</row>
    <row r="784" ht="18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</row>
    <row r="785" ht="18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</row>
    <row r="786" ht="18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</row>
    <row r="787" ht="18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</row>
    <row r="788" ht="18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</row>
    <row r="789" ht="18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</row>
    <row r="790" ht="18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</row>
    <row r="791" ht="18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</row>
    <row r="792" ht="18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</row>
    <row r="793" ht="18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</row>
    <row r="794" ht="18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</row>
    <row r="795" ht="18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</row>
    <row r="796" ht="18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</row>
    <row r="797" ht="18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</row>
    <row r="798" ht="18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</row>
    <row r="799" ht="18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</row>
    <row r="800" ht="18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</row>
    <row r="801" ht="18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</row>
    <row r="802" ht="18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</row>
    <row r="803" ht="18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</row>
    <row r="804" ht="18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</row>
    <row r="805" ht="18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</row>
    <row r="806" ht="18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</row>
    <row r="807" ht="18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</row>
    <row r="808" ht="18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</row>
    <row r="809" ht="18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</row>
    <row r="810" ht="18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</row>
    <row r="811" ht="18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</row>
    <row r="812" ht="18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</row>
    <row r="813" ht="18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</row>
    <row r="814" ht="18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</row>
    <row r="815" ht="18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</row>
    <row r="816" ht="18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</row>
    <row r="817" ht="18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</row>
    <row r="818" ht="18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</row>
    <row r="819" ht="18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</row>
    <row r="820" ht="18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</row>
    <row r="821" ht="18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</row>
    <row r="822" ht="18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</row>
    <row r="823" ht="18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</row>
    <row r="824" ht="18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</row>
    <row r="825" ht="18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</row>
    <row r="826" ht="18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</row>
    <row r="827" ht="18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</row>
    <row r="828" ht="18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</row>
    <row r="829" ht="18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</row>
    <row r="830" ht="18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</row>
    <row r="831" ht="18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</row>
    <row r="832" ht="18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</row>
    <row r="833" ht="18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</row>
    <row r="834" ht="18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</row>
    <row r="835" ht="18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</row>
    <row r="836" ht="18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</row>
    <row r="837" ht="18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</row>
    <row r="838" ht="18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</row>
    <row r="839" ht="18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</row>
    <row r="840" ht="18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</row>
    <row r="841" ht="18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</row>
    <row r="842" ht="18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</row>
    <row r="843" ht="18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</row>
    <row r="844" ht="18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</row>
    <row r="845" ht="18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</row>
    <row r="846" ht="18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</row>
    <row r="847" ht="18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</row>
    <row r="848" ht="18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</row>
    <row r="849" ht="18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</row>
    <row r="850" ht="18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</row>
    <row r="851" ht="18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</row>
    <row r="852" ht="18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</row>
    <row r="853" ht="18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</row>
    <row r="854" ht="18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</row>
    <row r="855" ht="18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</row>
    <row r="856" ht="18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</row>
    <row r="857" ht="18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</row>
    <row r="858" ht="18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</row>
    <row r="859" ht="18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</row>
    <row r="860" ht="18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</row>
    <row r="861" ht="18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</row>
    <row r="862" ht="18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</row>
    <row r="863" ht="18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</row>
    <row r="864" ht="18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</row>
    <row r="865" ht="18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</row>
    <row r="866" ht="18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</row>
    <row r="867" ht="18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</row>
    <row r="868" ht="18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</row>
    <row r="869" ht="18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</row>
    <row r="870" ht="18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</row>
    <row r="871" ht="18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</row>
    <row r="872" ht="18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</row>
    <row r="873" ht="18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</row>
    <row r="874" ht="18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</row>
    <row r="875" ht="18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</row>
    <row r="876" ht="18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</row>
    <row r="877" ht="18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</row>
    <row r="878" ht="18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</row>
    <row r="879" ht="18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</row>
    <row r="880" ht="18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</row>
    <row r="881" ht="18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</row>
    <row r="882" ht="18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</row>
    <row r="883" ht="18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</row>
    <row r="884" ht="18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</row>
    <row r="885" ht="18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</row>
    <row r="886" ht="18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</row>
    <row r="887" ht="18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</row>
    <row r="888" ht="18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</row>
    <row r="889" ht="18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</row>
    <row r="890" ht="18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</row>
    <row r="891" ht="18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</row>
    <row r="892" ht="18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</row>
    <row r="893" ht="18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</row>
    <row r="894" ht="18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</row>
    <row r="895" ht="18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</row>
    <row r="896" ht="18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</row>
    <row r="897" ht="18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</row>
    <row r="898" ht="18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</row>
    <row r="899" ht="18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</row>
    <row r="900" ht="18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</row>
    <row r="901" ht="18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</row>
    <row r="902" ht="18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</row>
    <row r="903" ht="18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</row>
    <row r="904" ht="18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</row>
    <row r="905" ht="18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</row>
    <row r="906" ht="18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</row>
    <row r="907" ht="18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</row>
    <row r="908" ht="18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</row>
    <row r="909" ht="18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</row>
    <row r="910" ht="18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</row>
    <row r="911" ht="18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</row>
    <row r="912" ht="18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</row>
    <row r="913" ht="18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</row>
    <row r="914" ht="18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</row>
    <row r="915" ht="18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</row>
    <row r="916" ht="18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</row>
    <row r="917" ht="18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</row>
    <row r="918" ht="18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</row>
    <row r="919" ht="18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</row>
    <row r="920" ht="18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</row>
    <row r="921" ht="18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</row>
    <row r="922" ht="18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</row>
    <row r="923" ht="18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</row>
    <row r="924" ht="18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</row>
    <row r="925" ht="18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</row>
    <row r="926" ht="18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</row>
    <row r="927" ht="18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</row>
    <row r="928" ht="18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</row>
    <row r="929" ht="18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</row>
    <row r="930" ht="18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</row>
    <row r="931" ht="18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</row>
    <row r="932" ht="18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</row>
    <row r="933" ht="18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</row>
    <row r="934" ht="18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</row>
    <row r="935" ht="18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</row>
    <row r="936" ht="18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</row>
    <row r="937" ht="18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</row>
    <row r="938" ht="18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</row>
    <row r="939" ht="18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</row>
    <row r="940" ht="18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</row>
    <row r="941" ht="18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</row>
    <row r="942" ht="18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</row>
    <row r="943" ht="18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</row>
    <row r="944" ht="18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</row>
    <row r="945" ht="18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</row>
    <row r="946" ht="18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</row>
    <row r="947" ht="18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</row>
    <row r="948" ht="18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</row>
    <row r="949" ht="18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</row>
    <row r="950" ht="18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</row>
    <row r="951" ht="18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</row>
    <row r="952" ht="18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</row>
    <row r="953" ht="18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</row>
    <row r="954" ht="18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</row>
    <row r="955" ht="18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</row>
    <row r="956" ht="18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</row>
    <row r="957" ht="18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</row>
    <row r="958" ht="18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</row>
    <row r="959" ht="18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</row>
    <row r="960" ht="18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</row>
    <row r="961" ht="18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</row>
    <row r="962" ht="18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</row>
    <row r="963" ht="18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</row>
    <row r="964" ht="18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</row>
    <row r="965" ht="18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</row>
    <row r="966" ht="18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</row>
    <row r="967" ht="18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</row>
    <row r="968" ht="18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</row>
    <row r="969" ht="18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</row>
    <row r="970" ht="18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</row>
    <row r="971" ht="18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</row>
    <row r="972" ht="18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</row>
    <row r="973" ht="18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</row>
    <row r="974" ht="18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</row>
    <row r="975" ht="18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</row>
    <row r="976" ht="18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</row>
    <row r="977" ht="18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</row>
    <row r="978" ht="18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</row>
    <row r="979" ht="18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</row>
    <row r="980" ht="18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</row>
    <row r="981" ht="18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</row>
    <row r="982" ht="18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</row>
    <row r="983" ht="18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</row>
    <row r="984" ht="18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</row>
    <row r="985" ht="18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</row>
    <row r="986" ht="18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</row>
    <row r="987" ht="18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</row>
    <row r="988" ht="18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</row>
    <row r="989" ht="18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</row>
    <row r="990" ht="18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</row>
    <row r="991" ht="18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</row>
    <row r="992" ht="18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</row>
    <row r="993" ht="18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</row>
    <row r="994" ht="18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</row>
    <row r="995" ht="18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</row>
    <row r="996" ht="18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</row>
    <row r="997" ht="18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</row>
    <row r="998" ht="18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</row>
    <row r="999" ht="18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</row>
    <row r="1000" ht="18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</row>
  </sheetData>
  <mergeCells count="10">
    <mergeCell ref="L3:M3"/>
    <mergeCell ref="L4:M7"/>
    <mergeCell ref="B2:D2"/>
    <mergeCell ref="E2:J2"/>
    <mergeCell ref="L2:N2"/>
    <mergeCell ref="O2:T2"/>
    <mergeCell ref="B3:C3"/>
    <mergeCell ref="B4:C7"/>
    <mergeCell ref="J4:J6"/>
    <mergeCell ref="T4:T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2024-04-27T07:34:44Z</dcterms:created>
  <dc:creator>楊善筑</dc:creator>
</cp:coreProperties>
</file>