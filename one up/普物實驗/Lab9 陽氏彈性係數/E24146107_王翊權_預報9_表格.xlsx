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up\普物實驗\Lab9 陽氏彈性係數\"/>
    </mc:Choice>
  </mc:AlternateContent>
  <xr:revisionPtr revIDLastSave="0" documentId="13_ncr:1_{17A71031-E225-4852-ACDB-8983FEE3FA74}" xr6:coauthVersionLast="47" xr6:coauthVersionMax="47" xr10:uidLastSave="{00000000-0000-0000-0000-000000000000}"/>
  <bookViews>
    <workbookView xWindow="-108" yWindow="-108" windowWidth="18648" windowHeight="11784" activeTab="1" xr2:uid="{A94FDA95-F707-4D7D-A108-183DD0CA3694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F32" i="2"/>
  <c r="F33" i="2" s="1"/>
  <c r="F34" i="2" s="1"/>
  <c r="F35" i="2" s="1"/>
  <c r="F36" i="2" s="1"/>
  <c r="F37" i="2" s="1"/>
  <c r="F38" i="2" s="1"/>
  <c r="F39" i="2" s="1"/>
  <c r="F40" i="2" s="1"/>
  <c r="F41" i="2" s="1"/>
  <c r="G32" i="2"/>
  <c r="G33" i="2" s="1"/>
  <c r="G34" i="2" s="1"/>
  <c r="G35" i="2" s="1"/>
  <c r="G36" i="2" s="1"/>
  <c r="G37" i="2" s="1"/>
  <c r="G38" i="2" s="1"/>
  <c r="G39" i="2" s="1"/>
  <c r="G40" i="2" s="1"/>
  <c r="G41" i="2" s="1"/>
  <c r="H32" i="2"/>
  <c r="H33" i="2" s="1"/>
  <c r="H34" i="2" s="1"/>
  <c r="H35" i="2" s="1"/>
  <c r="H36" i="2" s="1"/>
  <c r="H37" i="2" s="1"/>
  <c r="H38" i="2" s="1"/>
  <c r="H39" i="2" s="1"/>
  <c r="H40" i="2" s="1"/>
  <c r="H41" i="2" s="1"/>
  <c r="I32" i="2"/>
  <c r="E33" i="2"/>
  <c r="E34" i="2" s="1"/>
  <c r="E35" i="2" s="1"/>
  <c r="E36" i="2" s="1"/>
  <c r="E37" i="2" s="1"/>
  <c r="E38" i="2" s="1"/>
  <c r="E39" i="2" s="1"/>
  <c r="E40" i="2" s="1"/>
  <c r="E41" i="2" s="1"/>
  <c r="I33" i="2"/>
  <c r="I34" i="2" s="1"/>
  <c r="I35" i="2" s="1"/>
  <c r="I36" i="2" s="1"/>
  <c r="I37" i="2" s="1"/>
  <c r="I38" i="2" s="1"/>
  <c r="I39" i="2" s="1"/>
  <c r="I40" i="2" s="1"/>
  <c r="I41" i="2" s="1"/>
  <c r="D41" i="2"/>
  <c r="D34" i="2"/>
  <c r="D35" i="2"/>
  <c r="D36" i="2"/>
  <c r="D37" i="2"/>
  <c r="D38" i="2" s="1"/>
  <c r="D39" i="2" s="1"/>
  <c r="D40" i="2" s="1"/>
  <c r="D33" i="2"/>
  <c r="D32" i="2"/>
  <c r="J22" i="2"/>
  <c r="J31" i="2" s="1"/>
  <c r="J23" i="2"/>
  <c r="J24" i="2"/>
  <c r="J25" i="2"/>
  <c r="J26" i="2"/>
  <c r="J27" i="2"/>
  <c r="J28" i="2"/>
  <c r="J29" i="2"/>
  <c r="J30" i="2"/>
  <c r="J21" i="2"/>
  <c r="D22" i="2"/>
  <c r="E22" i="2"/>
  <c r="F22" i="2"/>
  <c r="G22" i="2"/>
  <c r="H22" i="2"/>
  <c r="I22" i="2"/>
  <c r="D23" i="2"/>
  <c r="E23" i="2"/>
  <c r="F23" i="2"/>
  <c r="G23" i="2"/>
  <c r="H23" i="2"/>
  <c r="I23" i="2"/>
  <c r="D24" i="2"/>
  <c r="E24" i="2"/>
  <c r="F24" i="2"/>
  <c r="G24" i="2"/>
  <c r="H24" i="2"/>
  <c r="I24" i="2"/>
  <c r="D25" i="2"/>
  <c r="E25" i="2"/>
  <c r="F25" i="2"/>
  <c r="G25" i="2"/>
  <c r="H25" i="2"/>
  <c r="I25" i="2"/>
  <c r="D26" i="2"/>
  <c r="E26" i="2"/>
  <c r="F26" i="2"/>
  <c r="G26" i="2"/>
  <c r="H26" i="2"/>
  <c r="I26" i="2"/>
  <c r="D27" i="2"/>
  <c r="E27" i="2"/>
  <c r="F27" i="2"/>
  <c r="G27" i="2"/>
  <c r="H27" i="2"/>
  <c r="I27" i="2"/>
  <c r="D28" i="2"/>
  <c r="E28" i="2"/>
  <c r="F28" i="2"/>
  <c r="G28" i="2"/>
  <c r="H28" i="2"/>
  <c r="I28" i="2"/>
  <c r="D29" i="2"/>
  <c r="E29" i="2"/>
  <c r="F29" i="2"/>
  <c r="G29" i="2"/>
  <c r="H29" i="2"/>
  <c r="I29" i="2"/>
  <c r="D30" i="2"/>
  <c r="E30" i="2"/>
  <c r="F30" i="2"/>
  <c r="G30" i="2"/>
  <c r="H30" i="2"/>
  <c r="I30" i="2"/>
  <c r="E21" i="2"/>
  <c r="F21" i="2"/>
  <c r="G21" i="2"/>
  <c r="H21" i="2"/>
  <c r="I21" i="2"/>
  <c r="D21" i="2"/>
  <c r="M24" i="2"/>
  <c r="N24" i="2" s="1"/>
  <c r="K7" i="2"/>
  <c r="K8" i="2"/>
  <c r="K9" i="2"/>
  <c r="K10" i="2"/>
  <c r="K11" i="2"/>
  <c r="K12" i="2"/>
  <c r="K13" i="2"/>
  <c r="K14" i="2"/>
  <c r="K15" i="2"/>
  <c r="K16" i="2"/>
  <c r="K6" i="2"/>
  <c r="B18" i="1"/>
  <c r="C12" i="1"/>
</calcChain>
</file>

<file path=xl/sharedStrings.xml><?xml version="1.0" encoding="utf-8"?>
<sst xmlns="http://schemas.openxmlformats.org/spreadsheetml/2006/main" count="73" uniqueCount="38">
  <si>
    <t>l_0</t>
    <phoneticPr fontId="1" type="noConversion"/>
  </si>
  <si>
    <t>金屬線直徑</t>
    <phoneticPr fontId="1" type="noConversion"/>
  </si>
  <si>
    <t>位置1</t>
    <phoneticPr fontId="1" type="noConversion"/>
  </si>
  <si>
    <t>位置2</t>
  </si>
  <si>
    <t>位置3</t>
  </si>
  <si>
    <t>位置4</t>
  </si>
  <si>
    <t>金屬圓柱直徑</t>
    <phoneticPr fontId="1" type="noConversion"/>
  </si>
  <si>
    <t xml:space="preserve">金屬線平均直徑 </t>
    <phoneticPr fontId="1" type="noConversion"/>
  </si>
  <si>
    <t>金屬線的截面積 A</t>
    <phoneticPr fontId="1" type="noConversion"/>
  </si>
  <si>
    <t>金屬圓柱平均直徑</t>
    <phoneticPr fontId="1" type="noConversion"/>
  </si>
  <si>
    <t>平面鏡與米尺距離</t>
    <phoneticPr fontId="1" type="noConversion"/>
  </si>
  <si>
    <t>載重砝碼</t>
    <phoneticPr fontId="1" type="noConversion"/>
  </si>
  <si>
    <t>米尺讀數</t>
    <phoneticPr fontId="1" type="noConversion"/>
  </si>
  <si>
    <t>第一次</t>
    <phoneticPr fontId="1" type="noConversion"/>
  </si>
  <si>
    <t>第二次</t>
    <phoneticPr fontId="1" type="noConversion"/>
  </si>
  <si>
    <t>增加載重</t>
    <phoneticPr fontId="1" type="noConversion"/>
  </si>
  <si>
    <t>減少載重</t>
    <phoneticPr fontId="1" type="noConversion"/>
  </si>
  <si>
    <t>金屬線伸長量</t>
    <phoneticPr fontId="1" type="noConversion"/>
  </si>
  <si>
    <t>\delta I_200</t>
    <phoneticPr fontId="1" type="noConversion"/>
  </si>
  <si>
    <t>\delta I_400</t>
    <phoneticPr fontId="1" type="noConversion"/>
  </si>
  <si>
    <t>\delta I_600</t>
  </si>
  <si>
    <t>\delta I_800</t>
  </si>
  <si>
    <t>\delta I_1000</t>
  </si>
  <si>
    <t>\delta I_1200</t>
  </si>
  <si>
    <t>\delta I_1400</t>
  </si>
  <si>
    <t>\delta I_1600</t>
  </si>
  <si>
    <t>\delta I_1800</t>
  </si>
  <si>
    <t>\delta I_2000</t>
  </si>
  <si>
    <t>平均伸長量</t>
    <phoneticPr fontId="1" type="noConversion"/>
  </si>
  <si>
    <t>第三次</t>
    <phoneticPr fontId="1" type="noConversion"/>
  </si>
  <si>
    <t>標準差</t>
    <phoneticPr fontId="1" type="noConversion"/>
  </si>
  <si>
    <t>s</t>
    <phoneticPr fontId="1" type="noConversion"/>
  </si>
  <si>
    <t>g</t>
    <phoneticPr fontId="1" type="noConversion"/>
  </si>
  <si>
    <t>A</t>
    <phoneticPr fontId="1" type="noConversion"/>
  </si>
  <si>
    <t>Y</t>
    <phoneticPr fontId="1" type="noConversion"/>
  </si>
  <si>
    <t>r</t>
    <phoneticPr fontId="1" type="noConversion"/>
  </si>
  <si>
    <t>L</t>
    <phoneticPr fontId="1" type="noConversion"/>
  </si>
  <si>
    <t>載重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</si>
</sst>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"/>
    <numFmt numFmtId="177" formatCode="0.0000"/>
    <numFmt numFmtId="178" formatCode="0.00000000000000_ "/>
    <numFmt numFmtId="179" formatCode="0.000000"/>
    <numFmt numFmtId="180" formatCode="0.0000000000000000_ "/>
  </numFmts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8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179" fontId="0" fillId="0" borderId="6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9D058-3919-4C94-8D00-4C5D95AF84E9}">
  <dimension ref="B5:J18"/>
  <sheetViews>
    <sheetView workbookViewId="0">
      <selection activeCell="B18" sqref="B18"/>
    </sheetView>
  </sheetViews>
  <sheetFormatPr defaultRowHeight="16.2" x14ac:dyDescent="0.3"/>
  <cols>
    <col min="2" max="2" width="18.21875" customWidth="1"/>
    <col min="3" max="3" width="18.5546875" customWidth="1"/>
  </cols>
  <sheetData>
    <row r="5" spans="2:10" x14ac:dyDescent="0.3">
      <c r="B5" s="3" t="s">
        <v>0</v>
      </c>
    </row>
    <row r="6" spans="2:10" x14ac:dyDescent="0.3">
      <c r="B6" s="3">
        <v>89</v>
      </c>
    </row>
    <row r="8" spans="2:10" x14ac:dyDescent="0.3">
      <c r="B8" s="10" t="s">
        <v>1</v>
      </c>
      <c r="C8" s="10" t="s">
        <v>2</v>
      </c>
      <c r="D8" s="10"/>
      <c r="E8" s="10" t="s">
        <v>3</v>
      </c>
      <c r="F8" s="10"/>
      <c r="G8" s="10" t="s">
        <v>4</v>
      </c>
      <c r="H8" s="10"/>
      <c r="I8" s="10" t="s">
        <v>5</v>
      </c>
      <c r="J8" s="10"/>
    </row>
    <row r="9" spans="2:10" x14ac:dyDescent="0.3">
      <c r="B9" s="10"/>
      <c r="C9" s="3">
        <v>0.32</v>
      </c>
      <c r="D9" s="3">
        <v>0.32</v>
      </c>
      <c r="E9" s="3">
        <v>0.32</v>
      </c>
      <c r="F9" s="3">
        <v>0.32</v>
      </c>
      <c r="G9" s="3">
        <v>0.32</v>
      </c>
      <c r="H9" s="3">
        <v>0.32</v>
      </c>
      <c r="I9" s="3">
        <v>0.32</v>
      </c>
      <c r="J9" s="3">
        <v>0.32</v>
      </c>
    </row>
    <row r="10" spans="2:10" x14ac:dyDescent="0.3">
      <c r="D10" s="1"/>
      <c r="E10" s="1"/>
      <c r="F10" s="1"/>
      <c r="G10" s="1"/>
      <c r="H10" s="1"/>
      <c r="I10" s="1"/>
      <c r="J10" s="1"/>
    </row>
    <row r="11" spans="2:10" x14ac:dyDescent="0.3">
      <c r="B11" s="2" t="s">
        <v>7</v>
      </c>
      <c r="C11" s="2" t="s">
        <v>8</v>
      </c>
      <c r="D11" s="1"/>
      <c r="E11" s="1"/>
      <c r="F11" s="1"/>
      <c r="G11" s="1"/>
      <c r="H11" s="1"/>
      <c r="I11" s="1"/>
      <c r="J11" s="1"/>
    </row>
    <row r="12" spans="2:10" x14ac:dyDescent="0.3">
      <c r="B12" s="3">
        <v>3.2000000000000001E-2</v>
      </c>
      <c r="C12" s="2">
        <f>(B12/2)^2*PI()</f>
        <v>8.0424771931898698E-4</v>
      </c>
    </row>
    <row r="14" spans="2:10" x14ac:dyDescent="0.3">
      <c r="B14" s="4" t="s">
        <v>6</v>
      </c>
      <c r="C14" s="3">
        <v>1</v>
      </c>
      <c r="D14" s="3">
        <v>2</v>
      </c>
      <c r="E14" s="3">
        <v>3</v>
      </c>
      <c r="F14" s="3">
        <v>4</v>
      </c>
      <c r="G14" s="3">
        <v>5</v>
      </c>
    </row>
    <row r="15" spans="2:10" x14ac:dyDescent="0.3">
      <c r="B15" s="5"/>
      <c r="C15" s="3">
        <v>1.925</v>
      </c>
      <c r="D15" s="3">
        <v>1.92</v>
      </c>
      <c r="E15" s="3">
        <v>1.9</v>
      </c>
      <c r="F15" s="3">
        <v>1.92</v>
      </c>
      <c r="G15" s="3">
        <v>1.92</v>
      </c>
    </row>
    <row r="17" spans="2:3" x14ac:dyDescent="0.3">
      <c r="B17" s="3" t="s">
        <v>9</v>
      </c>
      <c r="C17" s="3" t="s">
        <v>10</v>
      </c>
    </row>
    <row r="18" spans="2:3" x14ac:dyDescent="0.3">
      <c r="B18" s="3">
        <f>AVERAGE(C15:G15)</f>
        <v>1.9169999999999998</v>
      </c>
      <c r="C18" s="3">
        <v>114</v>
      </c>
    </row>
  </sheetData>
  <mergeCells count="5">
    <mergeCell ref="B8:B9"/>
    <mergeCell ref="C8:D8"/>
    <mergeCell ref="E8:F8"/>
    <mergeCell ref="G8:H8"/>
    <mergeCell ref="I8:J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0239-B743-4AEF-A9CF-9C182EB8C0BF}">
  <dimension ref="A3:R46"/>
  <sheetViews>
    <sheetView tabSelected="1" topLeftCell="A7" zoomScale="77" workbookViewId="0">
      <selection activeCell="M24" sqref="M24"/>
    </sheetView>
  </sheetViews>
  <sheetFormatPr defaultRowHeight="16.2" x14ac:dyDescent="0.3"/>
  <cols>
    <col min="4" max="4" width="23" bestFit="1" customWidth="1"/>
    <col min="5" max="5" width="9.44140625" customWidth="1"/>
    <col min="6" max="7" width="10.44140625" customWidth="1"/>
    <col min="8" max="8" width="10" customWidth="1"/>
    <col min="9" max="9" width="10.109375" customWidth="1"/>
    <col min="10" max="10" width="10.33203125" customWidth="1"/>
    <col min="12" max="12" width="20.6640625" bestFit="1" customWidth="1"/>
    <col min="13" max="13" width="13" bestFit="1" customWidth="1"/>
  </cols>
  <sheetData>
    <row r="3" spans="1:11" x14ac:dyDescent="0.3">
      <c r="A3" s="13" t="s">
        <v>11</v>
      </c>
      <c r="B3" s="10" t="s">
        <v>37</v>
      </c>
      <c r="C3" s="10"/>
      <c r="D3" s="10"/>
      <c r="E3" s="10" t="s">
        <v>12</v>
      </c>
      <c r="F3" s="10"/>
      <c r="G3" s="10"/>
      <c r="H3" s="10"/>
      <c r="I3" s="10"/>
      <c r="J3" s="10"/>
      <c r="K3" s="16"/>
    </row>
    <row r="4" spans="1:11" x14ac:dyDescent="0.3">
      <c r="A4" s="13"/>
      <c r="B4" s="10"/>
      <c r="C4" s="10"/>
      <c r="D4" s="10"/>
      <c r="E4" s="10" t="s">
        <v>13</v>
      </c>
      <c r="F4" s="10"/>
      <c r="G4" s="10" t="s">
        <v>14</v>
      </c>
      <c r="H4" s="10"/>
      <c r="I4" s="10" t="s">
        <v>29</v>
      </c>
      <c r="J4" s="10"/>
      <c r="K4" s="16"/>
    </row>
    <row r="5" spans="1:11" x14ac:dyDescent="0.3">
      <c r="A5" s="13"/>
      <c r="B5" s="10"/>
      <c r="C5" s="10"/>
      <c r="D5" s="10"/>
      <c r="E5" s="3" t="s">
        <v>15</v>
      </c>
      <c r="F5" s="3" t="s">
        <v>16</v>
      </c>
      <c r="G5" s="3" t="s">
        <v>15</v>
      </c>
      <c r="H5" s="3" t="s">
        <v>16</v>
      </c>
      <c r="I5" s="3" t="s">
        <v>15</v>
      </c>
      <c r="J5" s="3" t="s">
        <v>16</v>
      </c>
    </row>
    <row r="6" spans="1:11" x14ac:dyDescent="0.3">
      <c r="A6">
        <v>0</v>
      </c>
      <c r="B6" s="10"/>
      <c r="C6" s="10"/>
      <c r="D6" s="10"/>
      <c r="E6" s="3">
        <v>13.2</v>
      </c>
      <c r="F6" s="3">
        <v>13.1</v>
      </c>
      <c r="G6" s="3">
        <v>13.1</v>
      </c>
      <c r="H6" s="3">
        <v>12.9</v>
      </c>
      <c r="I6" s="3">
        <v>12.9</v>
      </c>
      <c r="J6" s="3">
        <v>12.9</v>
      </c>
      <c r="K6">
        <f>-AVERAGE(E6:J6)</f>
        <v>-13.016666666666667</v>
      </c>
    </row>
    <row r="7" spans="1:11" x14ac:dyDescent="0.3">
      <c r="A7">
        <v>200</v>
      </c>
      <c r="B7" s="10"/>
      <c r="C7" s="10"/>
      <c r="D7" s="10"/>
      <c r="E7" s="3">
        <v>10.9</v>
      </c>
      <c r="F7" s="3">
        <v>10.199999999999999</v>
      </c>
      <c r="G7" s="3">
        <v>10.3</v>
      </c>
      <c r="H7" s="3">
        <v>10.3</v>
      </c>
      <c r="I7" s="3">
        <v>10.4</v>
      </c>
      <c r="J7" s="3">
        <v>10.3</v>
      </c>
      <c r="K7">
        <f t="shared" ref="K7:K16" si="0">-AVERAGE(E7:J7)</f>
        <v>-10.4</v>
      </c>
    </row>
    <row r="8" spans="1:11" x14ac:dyDescent="0.3">
      <c r="A8">
        <v>400</v>
      </c>
      <c r="B8" s="10"/>
      <c r="C8" s="10"/>
      <c r="D8" s="10"/>
      <c r="E8" s="3">
        <v>8.1</v>
      </c>
      <c r="F8" s="3">
        <v>7.5</v>
      </c>
      <c r="G8" s="3">
        <v>7.7</v>
      </c>
      <c r="H8" s="3">
        <v>7.3</v>
      </c>
      <c r="I8" s="3">
        <v>7.8</v>
      </c>
      <c r="J8" s="3">
        <v>7</v>
      </c>
      <c r="K8">
        <f t="shared" si="0"/>
        <v>-7.5666666666666664</v>
      </c>
    </row>
    <row r="9" spans="1:11" x14ac:dyDescent="0.3">
      <c r="A9">
        <v>600</v>
      </c>
      <c r="B9" s="10"/>
      <c r="C9" s="10"/>
      <c r="D9" s="10"/>
      <c r="E9" s="3">
        <v>5.3</v>
      </c>
      <c r="F9" s="3">
        <v>4.7</v>
      </c>
      <c r="G9" s="3">
        <v>5</v>
      </c>
      <c r="H9" s="3">
        <v>4.7</v>
      </c>
      <c r="I9" s="3">
        <v>5</v>
      </c>
      <c r="J9" s="3">
        <v>4.8</v>
      </c>
      <c r="K9">
        <f t="shared" si="0"/>
        <v>-4.916666666666667</v>
      </c>
    </row>
    <row r="10" spans="1:11" x14ac:dyDescent="0.3">
      <c r="A10">
        <v>800</v>
      </c>
      <c r="B10" s="10"/>
      <c r="C10" s="10"/>
      <c r="D10" s="10"/>
      <c r="E10" s="3">
        <v>2.6</v>
      </c>
      <c r="F10" s="3">
        <v>2</v>
      </c>
      <c r="G10" s="3">
        <v>2.2000000000000002</v>
      </c>
      <c r="H10" s="3">
        <v>2</v>
      </c>
      <c r="I10" s="3">
        <v>2.2000000000000002</v>
      </c>
      <c r="J10" s="3">
        <v>1.8</v>
      </c>
      <c r="K10">
        <f t="shared" si="0"/>
        <v>-2.1333333333333333</v>
      </c>
    </row>
    <row r="11" spans="1:11" x14ac:dyDescent="0.3">
      <c r="A11">
        <v>1000</v>
      </c>
      <c r="B11" s="10"/>
      <c r="C11" s="10"/>
      <c r="D11" s="10"/>
      <c r="E11" s="3">
        <v>-0.2</v>
      </c>
      <c r="F11" s="3">
        <v>-0.6</v>
      </c>
      <c r="G11" s="3">
        <v>-0.4</v>
      </c>
      <c r="H11" s="3">
        <v>-0.7</v>
      </c>
      <c r="I11" s="3">
        <v>-0.3</v>
      </c>
      <c r="J11" s="3">
        <v>-0.7</v>
      </c>
      <c r="K11">
        <f t="shared" si="0"/>
        <v>0.48333333333333339</v>
      </c>
    </row>
    <row r="12" spans="1:11" x14ac:dyDescent="0.3">
      <c r="A12">
        <v>1200</v>
      </c>
      <c r="B12" s="10"/>
      <c r="C12" s="10"/>
      <c r="D12" s="10"/>
      <c r="E12" s="3">
        <v>-2.8</v>
      </c>
      <c r="F12" s="3">
        <v>-3.3</v>
      </c>
      <c r="G12" s="3">
        <v>-3.1</v>
      </c>
      <c r="H12" s="3">
        <v>-3.3</v>
      </c>
      <c r="I12" s="3">
        <v>-3</v>
      </c>
      <c r="J12" s="3">
        <v>-3.4</v>
      </c>
      <c r="K12">
        <f t="shared" si="0"/>
        <v>3.15</v>
      </c>
    </row>
    <row r="13" spans="1:11" x14ac:dyDescent="0.3">
      <c r="A13">
        <v>1400</v>
      </c>
      <c r="B13" s="10"/>
      <c r="C13" s="10"/>
      <c r="D13" s="10"/>
      <c r="E13" s="3">
        <v>-5.5</v>
      </c>
      <c r="F13" s="3">
        <v>-6</v>
      </c>
      <c r="G13" s="3">
        <v>-5.7</v>
      </c>
      <c r="H13" s="3">
        <v>-5.8</v>
      </c>
      <c r="I13" s="3">
        <v>-5.8</v>
      </c>
      <c r="J13" s="3">
        <v>-6.1</v>
      </c>
      <c r="K13">
        <f t="shared" si="0"/>
        <v>5.8166666666666664</v>
      </c>
    </row>
    <row r="14" spans="1:11" x14ac:dyDescent="0.3">
      <c r="A14">
        <v>1600</v>
      </c>
      <c r="B14" s="10"/>
      <c r="C14" s="10"/>
      <c r="D14" s="10"/>
      <c r="E14" s="3">
        <v>-8.1</v>
      </c>
      <c r="F14" s="3">
        <v>-8.4</v>
      </c>
      <c r="G14" s="3">
        <v>-8.4</v>
      </c>
      <c r="H14" s="3">
        <v>-8.3000000000000007</v>
      </c>
      <c r="I14" s="3">
        <v>-8.1</v>
      </c>
      <c r="J14" s="3">
        <v>-8.4</v>
      </c>
      <c r="K14">
        <f t="shared" si="0"/>
        <v>8.2833333333333332</v>
      </c>
    </row>
    <row r="15" spans="1:11" x14ac:dyDescent="0.3">
      <c r="A15">
        <v>1800</v>
      </c>
      <c r="B15" s="10"/>
      <c r="C15" s="10"/>
      <c r="D15" s="10"/>
      <c r="E15" s="3">
        <v>-10.8</v>
      </c>
      <c r="F15" s="3">
        <v>-11</v>
      </c>
      <c r="G15" s="3">
        <v>-10.9</v>
      </c>
      <c r="H15" s="3">
        <v>-11.1</v>
      </c>
      <c r="I15" s="3">
        <v>-10.9</v>
      </c>
      <c r="J15" s="3">
        <v>-11.4</v>
      </c>
      <c r="K15">
        <f t="shared" si="0"/>
        <v>11.016666666666667</v>
      </c>
    </row>
    <row r="16" spans="1:11" x14ac:dyDescent="0.3">
      <c r="A16">
        <v>2000</v>
      </c>
      <c r="B16" s="10"/>
      <c r="C16" s="10"/>
      <c r="D16" s="10"/>
      <c r="E16" s="3">
        <v>-13.6</v>
      </c>
      <c r="F16" s="3">
        <v>-13.6</v>
      </c>
      <c r="G16" s="3">
        <v>-13.5</v>
      </c>
      <c r="H16" s="3">
        <v>-13.5</v>
      </c>
      <c r="I16" s="3">
        <v>-13.8</v>
      </c>
      <c r="J16" s="3">
        <v>-13.8</v>
      </c>
      <c r="K16">
        <f t="shared" si="0"/>
        <v>13.633333333333333</v>
      </c>
    </row>
    <row r="17" spans="2:18" x14ac:dyDescent="0.3">
      <c r="B17" s="1"/>
      <c r="C17" s="1"/>
      <c r="D17" s="1"/>
    </row>
    <row r="18" spans="2:18" x14ac:dyDescent="0.3">
      <c r="B18" s="1"/>
      <c r="C18" s="1"/>
      <c r="D18" s="1"/>
    </row>
    <row r="19" spans="2:18" x14ac:dyDescent="0.3">
      <c r="B19" s="10" t="s">
        <v>17</v>
      </c>
      <c r="C19" s="10"/>
      <c r="D19" s="10" t="s">
        <v>13</v>
      </c>
      <c r="E19" s="10"/>
      <c r="F19" s="10" t="s">
        <v>14</v>
      </c>
      <c r="G19" s="10"/>
      <c r="H19" s="10" t="s">
        <v>13</v>
      </c>
      <c r="I19" s="10"/>
      <c r="J19" s="10" t="s">
        <v>28</v>
      </c>
      <c r="K19" s="10"/>
    </row>
    <row r="20" spans="2:18" x14ac:dyDescent="0.3">
      <c r="B20" s="10"/>
      <c r="C20" s="10"/>
      <c r="D20" s="3" t="s">
        <v>15</v>
      </c>
      <c r="E20" s="3" t="s">
        <v>16</v>
      </c>
      <c r="F20" s="3" t="s">
        <v>15</v>
      </c>
      <c r="G20" s="3" t="s">
        <v>16</v>
      </c>
      <c r="H20" s="3" t="s">
        <v>15</v>
      </c>
      <c r="I20" s="3" t="s">
        <v>16</v>
      </c>
      <c r="J20" s="10"/>
      <c r="K20" s="10"/>
      <c r="M20" t="s">
        <v>31</v>
      </c>
      <c r="N20" t="s">
        <v>0</v>
      </c>
      <c r="O20" t="s">
        <v>32</v>
      </c>
      <c r="P20" t="s">
        <v>33</v>
      </c>
      <c r="Q20" t="s">
        <v>35</v>
      </c>
      <c r="R20" t="s">
        <v>36</v>
      </c>
    </row>
    <row r="21" spans="2:18" x14ac:dyDescent="0.3">
      <c r="B21" s="10" t="s">
        <v>18</v>
      </c>
      <c r="C21" s="10"/>
      <c r="D21" s="6">
        <f>ABS($Q$21*(0.5*ATAN((E7-E6)/$R$21)))</f>
        <v>9.6677673402305979E-3</v>
      </c>
      <c r="E21" s="6">
        <f t="shared" ref="E21:I21" si="1">ABS($Q$21*(0.5*ATAN((F7-F6)/$R$21)))</f>
        <v>1.2188818603645499E-2</v>
      </c>
      <c r="F21" s="6">
        <f t="shared" si="1"/>
        <v>1.1768686476255532E-2</v>
      </c>
      <c r="G21" s="6">
        <f t="shared" si="1"/>
        <v>1.0928368587073465E-2</v>
      </c>
      <c r="H21" s="6">
        <f t="shared" si="1"/>
        <v>1.0508184114850005E-2</v>
      </c>
      <c r="I21" s="6">
        <f t="shared" si="1"/>
        <v>1.0928368587073465E-2</v>
      </c>
      <c r="J21" s="17">
        <f>AVERAGE(D21:I21)</f>
        <v>1.0998365618188094E-2</v>
      </c>
      <c r="K21" s="18"/>
      <c r="L21" s="7"/>
      <c r="M21" s="21">
        <v>6.0000000000000002E-5</v>
      </c>
      <c r="N21">
        <v>89</v>
      </c>
      <c r="O21">
        <v>980</v>
      </c>
      <c r="P21" s="2">
        <v>8.0424771931898698E-4</v>
      </c>
      <c r="Q21">
        <v>0.95849999999999991</v>
      </c>
      <c r="R21">
        <v>114</v>
      </c>
    </row>
    <row r="22" spans="2:18" x14ac:dyDescent="0.3">
      <c r="B22" s="10" t="s">
        <v>19</v>
      </c>
      <c r="C22" s="10"/>
      <c r="D22" s="6">
        <f t="shared" ref="D22:I22" si="2">ABS($Q$21*(0.5*ATAN((E8-E7)/$R$21)))</f>
        <v>1.1768686476255541E-2</v>
      </c>
      <c r="E22" s="6">
        <f t="shared" si="2"/>
        <v>1.1348536255830223E-2</v>
      </c>
      <c r="F22" s="6">
        <f t="shared" si="2"/>
        <v>1.0928368587073469E-2</v>
      </c>
      <c r="G22" s="6">
        <f t="shared" si="2"/>
        <v>1.2608931993462963E-2</v>
      </c>
      <c r="H22" s="6">
        <f t="shared" si="2"/>
        <v>1.0928368587073469E-2</v>
      </c>
      <c r="I22" s="6">
        <f t="shared" si="2"/>
        <v>1.3869153294734598E-2</v>
      </c>
      <c r="J22" s="17">
        <f t="shared" ref="J22:J30" si="3">AVERAGE(D22:I22)</f>
        <v>1.190867419907171E-2</v>
      </c>
      <c r="K22" s="18"/>
      <c r="L22" s="7"/>
    </row>
    <row r="23" spans="2:18" x14ac:dyDescent="0.3">
      <c r="B23" s="19" t="s">
        <v>20</v>
      </c>
      <c r="C23" s="20"/>
      <c r="D23" s="6">
        <f t="shared" ref="D23:I23" si="4">ABS($Q$21*(0.5*ATAN((E9-E8)/$R$21)))</f>
        <v>1.1768686476255537E-2</v>
      </c>
      <c r="E23" s="6">
        <f t="shared" si="4"/>
        <v>1.1768686476255537E-2</v>
      </c>
      <c r="F23" s="6">
        <f t="shared" si="4"/>
        <v>1.1348536255830224E-2</v>
      </c>
      <c r="G23" s="6">
        <f t="shared" si="4"/>
        <v>1.0928368587073465E-2</v>
      </c>
      <c r="H23" s="6">
        <f t="shared" si="4"/>
        <v>1.1768686476255537E-2</v>
      </c>
      <c r="I23" s="6">
        <f t="shared" si="4"/>
        <v>9.2475363283150026E-3</v>
      </c>
      <c r="J23" s="17">
        <f t="shared" si="3"/>
        <v>1.1138416766664216E-2</v>
      </c>
      <c r="K23" s="18"/>
      <c r="L23" s="7"/>
      <c r="M23" t="s">
        <v>34</v>
      </c>
    </row>
    <row r="24" spans="2:18" x14ac:dyDescent="0.3">
      <c r="B24" s="19" t="s">
        <v>21</v>
      </c>
      <c r="C24" s="20"/>
      <c r="D24" s="6">
        <f t="shared" ref="D24:I24" si="5">ABS($Q$21*(0.5*ATAN((E10-E9)/$R$21)))</f>
        <v>1.1348536255830224E-2</v>
      </c>
      <c r="E24" s="6">
        <f t="shared" si="5"/>
        <v>1.1348536255830224E-2</v>
      </c>
      <c r="F24" s="6">
        <f t="shared" si="5"/>
        <v>1.1768686476255537E-2</v>
      </c>
      <c r="G24" s="6">
        <f t="shared" si="5"/>
        <v>1.1348536255830224E-2</v>
      </c>
      <c r="H24" s="6">
        <f t="shared" si="5"/>
        <v>1.1768686476255537E-2</v>
      </c>
      <c r="I24" s="6">
        <f t="shared" si="5"/>
        <v>1.2608931993462958E-2</v>
      </c>
      <c r="J24" s="17">
        <f t="shared" si="3"/>
        <v>1.1698652285577449E-2</v>
      </c>
      <c r="K24" s="18"/>
      <c r="L24" s="7"/>
      <c r="M24">
        <f>N21*O21/P21/M21</f>
        <v>1807486215686.8635</v>
      </c>
      <c r="N24">
        <f>M24/1000</f>
        <v>1807486215.6868634</v>
      </c>
    </row>
    <row r="25" spans="2:18" x14ac:dyDescent="0.3">
      <c r="B25" s="19" t="s">
        <v>22</v>
      </c>
      <c r="C25" s="20"/>
      <c r="D25" s="6">
        <f t="shared" ref="D25:I25" si="6">ABS($Q$21*(0.5*ATAN((E11-E10)/$R$21)))</f>
        <v>1.1768686476255539E-2</v>
      </c>
      <c r="E25" s="6">
        <f t="shared" si="6"/>
        <v>1.0928368587073467E-2</v>
      </c>
      <c r="F25" s="6">
        <f t="shared" si="6"/>
        <v>1.0928368587073467E-2</v>
      </c>
      <c r="G25" s="6">
        <f t="shared" si="6"/>
        <v>1.1348536255830224E-2</v>
      </c>
      <c r="H25" s="6">
        <f t="shared" si="6"/>
        <v>1.0508184114850005E-2</v>
      </c>
      <c r="I25" s="6">
        <f t="shared" si="6"/>
        <v>1.0508184114850005E-2</v>
      </c>
      <c r="J25" s="17">
        <f t="shared" si="3"/>
        <v>1.0998388022655452E-2</v>
      </c>
      <c r="K25" s="18"/>
      <c r="L25" s="7"/>
    </row>
    <row r="26" spans="2:18" x14ac:dyDescent="0.3">
      <c r="B26" s="19" t="s">
        <v>23</v>
      </c>
      <c r="C26" s="20"/>
      <c r="D26" s="6">
        <f t="shared" ref="D26:I26" si="7">ABS($Q$21*(0.5*ATAN((E12-E11)/$R$21)))</f>
        <v>1.0928368587073465E-2</v>
      </c>
      <c r="E26" s="6">
        <f t="shared" si="7"/>
        <v>1.1348536255830224E-2</v>
      </c>
      <c r="F26" s="6">
        <f t="shared" si="7"/>
        <v>1.1348536255830224E-2</v>
      </c>
      <c r="G26" s="6">
        <f t="shared" si="7"/>
        <v>1.0928368587073465E-2</v>
      </c>
      <c r="H26" s="6">
        <f t="shared" si="7"/>
        <v>1.1348536255830224E-2</v>
      </c>
      <c r="I26" s="6">
        <f t="shared" si="7"/>
        <v>1.1348536255830224E-2</v>
      </c>
      <c r="J26" s="17">
        <f t="shared" si="3"/>
        <v>1.1208480366244639E-2</v>
      </c>
      <c r="K26" s="18"/>
      <c r="L26" s="7"/>
    </row>
    <row r="27" spans="2:18" x14ac:dyDescent="0.3">
      <c r="B27" s="19" t="s">
        <v>24</v>
      </c>
      <c r="C27" s="20"/>
      <c r="D27" s="6">
        <f t="shared" ref="D27:I27" si="8">ABS($Q$21*(0.5*ATAN((E13-E12)/$R$21)))</f>
        <v>1.1348536255830224E-2</v>
      </c>
      <c r="E27" s="6">
        <f t="shared" si="8"/>
        <v>1.1348536255830224E-2</v>
      </c>
      <c r="F27" s="6">
        <f t="shared" si="8"/>
        <v>1.0928368587073467E-2</v>
      </c>
      <c r="G27" s="6">
        <f t="shared" si="8"/>
        <v>1.0508184114850005E-2</v>
      </c>
      <c r="H27" s="6">
        <f t="shared" si="8"/>
        <v>1.1768686476255537E-2</v>
      </c>
      <c r="I27" s="6">
        <f t="shared" si="8"/>
        <v>1.1348536255830224E-2</v>
      </c>
      <c r="J27" s="17">
        <f t="shared" si="3"/>
        <v>1.1208474657611614E-2</v>
      </c>
      <c r="K27" s="18"/>
      <c r="L27" s="7"/>
    </row>
    <row r="28" spans="2:18" x14ac:dyDescent="0.3">
      <c r="B28" s="19" t="s">
        <v>25</v>
      </c>
      <c r="C28" s="20"/>
      <c r="D28" s="6">
        <f t="shared" ref="D28:I28" si="9">ABS($Q$21*(0.5*ATAN((E14-E13)/$R$21)))</f>
        <v>1.0928368587073465E-2</v>
      </c>
      <c r="E28" s="6">
        <f t="shared" si="9"/>
        <v>1.0087983484179502E-2</v>
      </c>
      <c r="F28" s="6">
        <f t="shared" si="9"/>
        <v>1.1348536255830224E-2</v>
      </c>
      <c r="G28" s="6">
        <f t="shared" si="9"/>
        <v>1.0508184114850008E-2</v>
      </c>
      <c r="H28" s="6">
        <f t="shared" si="9"/>
        <v>9.6677673402305996E-3</v>
      </c>
      <c r="I28" s="6">
        <f t="shared" si="9"/>
        <v>9.6677673402306048E-3</v>
      </c>
      <c r="J28" s="17">
        <f t="shared" si="3"/>
        <v>1.0368101187065734E-2</v>
      </c>
      <c r="K28" s="18"/>
      <c r="L28" s="7"/>
    </row>
    <row r="29" spans="2:18" x14ac:dyDescent="0.3">
      <c r="B29" s="19" t="s">
        <v>26</v>
      </c>
      <c r="C29" s="20"/>
      <c r="D29" s="6">
        <f t="shared" ref="D29:I29" si="10">ABS($Q$21*(0.5*ATAN((E15-E14)/$R$21)))</f>
        <v>1.1348536255830228E-2</v>
      </c>
      <c r="E29" s="6">
        <f t="shared" si="10"/>
        <v>1.0928368587073465E-2</v>
      </c>
      <c r="F29" s="6">
        <f t="shared" si="10"/>
        <v>1.0508184114850005E-2</v>
      </c>
      <c r="G29" s="6">
        <f t="shared" si="10"/>
        <v>1.1768686476255532E-2</v>
      </c>
      <c r="H29" s="6">
        <f t="shared" si="10"/>
        <v>1.1768686476255541E-2</v>
      </c>
      <c r="I29" s="6">
        <f t="shared" si="10"/>
        <v>1.2608931993462958E-2</v>
      </c>
      <c r="J29" s="17">
        <f t="shared" si="3"/>
        <v>1.148856565062129E-2</v>
      </c>
      <c r="K29" s="18"/>
      <c r="L29" s="7"/>
    </row>
    <row r="30" spans="2:18" x14ac:dyDescent="0.3">
      <c r="B30" s="19" t="s">
        <v>27</v>
      </c>
      <c r="C30" s="20"/>
      <c r="D30" s="6">
        <f t="shared" ref="D30:I30" si="11">ABS($Q$21*(0.5*ATAN((E16-E15)/$R$21)))</f>
        <v>1.1768686476255532E-2</v>
      </c>
      <c r="E30" s="6">
        <f t="shared" si="11"/>
        <v>1.0928368587073465E-2</v>
      </c>
      <c r="F30" s="6">
        <f t="shared" si="11"/>
        <v>1.0928368587073465E-2</v>
      </c>
      <c r="G30" s="6">
        <f t="shared" si="11"/>
        <v>1.0087983484179502E-2</v>
      </c>
      <c r="H30" s="6">
        <f t="shared" si="11"/>
        <v>1.2188818603645499E-2</v>
      </c>
      <c r="I30" s="6">
        <f t="shared" si="11"/>
        <v>1.0087983484179502E-2</v>
      </c>
      <c r="J30" s="17">
        <f t="shared" si="3"/>
        <v>1.0998368203734494E-2</v>
      </c>
      <c r="K30" s="18"/>
      <c r="L30" s="7"/>
    </row>
    <row r="31" spans="2:18" x14ac:dyDescent="0.3">
      <c r="I31" t="s">
        <v>30</v>
      </c>
      <c r="J31" s="14">
        <f>_xlfn.STDEV.P(J21:J30)</f>
        <v>4.064570617533876E-4</v>
      </c>
      <c r="K31" s="15"/>
    </row>
    <row r="32" spans="2:18" x14ac:dyDescent="0.3">
      <c r="D32" s="9">
        <f>D21</f>
        <v>9.6677673402305979E-3</v>
      </c>
      <c r="E32" s="9">
        <f t="shared" ref="E32:I32" si="12">E21</f>
        <v>1.2188818603645499E-2</v>
      </c>
      <c r="F32" s="9">
        <f t="shared" si="12"/>
        <v>1.1768686476255532E-2</v>
      </c>
      <c r="G32" s="9">
        <f t="shared" si="12"/>
        <v>1.0928368587073465E-2</v>
      </c>
      <c r="H32" s="9">
        <f t="shared" si="12"/>
        <v>1.0508184114850005E-2</v>
      </c>
      <c r="I32" s="9">
        <f t="shared" si="12"/>
        <v>1.0928368587073465E-2</v>
      </c>
      <c r="J32" s="11"/>
      <c r="K32" s="12"/>
    </row>
    <row r="33" spans="4:11" x14ac:dyDescent="0.3">
      <c r="D33" s="9">
        <f>D22+D32</f>
        <v>2.1436453816486137E-2</v>
      </c>
      <c r="E33" s="9">
        <f t="shared" ref="E33:I40" si="13">E22+E32</f>
        <v>2.3537354859475723E-2</v>
      </c>
      <c r="F33" s="9">
        <f t="shared" si="13"/>
        <v>2.2697055063329002E-2</v>
      </c>
      <c r="G33" s="9">
        <f t="shared" si="13"/>
        <v>2.3537300580536429E-2</v>
      </c>
      <c r="H33" s="9">
        <f t="shared" si="13"/>
        <v>2.1436552701923475E-2</v>
      </c>
      <c r="I33" s="9">
        <f t="shared" si="13"/>
        <v>2.4797521881808064E-2</v>
      </c>
      <c r="J33" s="11"/>
      <c r="K33" s="12"/>
    </row>
    <row r="34" spans="4:11" x14ac:dyDescent="0.3">
      <c r="D34" s="9">
        <f t="shared" ref="D34:D40" si="14">D23+D33</f>
        <v>3.3205140292741672E-2</v>
      </c>
      <c r="E34" s="9">
        <f t="shared" si="13"/>
        <v>3.5306041335731259E-2</v>
      </c>
      <c r="F34" s="9">
        <f t="shared" si="13"/>
        <v>3.4045591319159227E-2</v>
      </c>
      <c r="G34" s="9">
        <f t="shared" si="13"/>
        <v>3.4465669167609896E-2</v>
      </c>
      <c r="H34" s="9">
        <f t="shared" si="13"/>
        <v>3.3205239178179011E-2</v>
      </c>
      <c r="I34" s="9">
        <f t="shared" si="13"/>
        <v>3.4045058210123068E-2</v>
      </c>
      <c r="J34" s="11"/>
      <c r="K34" s="12"/>
    </row>
    <row r="35" spans="4:11" x14ac:dyDescent="0.3">
      <c r="D35" s="9">
        <f t="shared" si="14"/>
        <v>4.4553676548571897E-2</v>
      </c>
      <c r="E35" s="9">
        <f t="shared" si="13"/>
        <v>4.6654577591561483E-2</v>
      </c>
      <c r="F35" s="9">
        <f t="shared" si="13"/>
        <v>4.5814277795414762E-2</v>
      </c>
      <c r="G35" s="9">
        <f t="shared" si="13"/>
        <v>4.581420542344012E-2</v>
      </c>
      <c r="H35" s="9">
        <f t="shared" si="13"/>
        <v>4.4973925654434546E-2</v>
      </c>
      <c r="I35" s="9">
        <f t="shared" si="13"/>
        <v>4.6653990203586029E-2</v>
      </c>
      <c r="J35" s="11"/>
      <c r="K35" s="12"/>
    </row>
    <row r="36" spans="4:11" x14ac:dyDescent="0.3">
      <c r="D36" s="9">
        <f t="shared" si="14"/>
        <v>5.6322363024827432E-2</v>
      </c>
      <c r="E36" s="9">
        <f t="shared" si="13"/>
        <v>5.758294617863495E-2</v>
      </c>
      <c r="F36" s="9">
        <f t="shared" si="13"/>
        <v>5.6742646382488229E-2</v>
      </c>
      <c r="G36" s="9">
        <f t="shared" si="13"/>
        <v>5.7162741679270344E-2</v>
      </c>
      <c r="H36" s="9">
        <f t="shared" si="13"/>
        <v>5.5482109769284554E-2</v>
      </c>
      <c r="I36" s="9">
        <f t="shared" si="13"/>
        <v>5.7162174318436038E-2</v>
      </c>
      <c r="J36" s="11"/>
      <c r="K36" s="12"/>
    </row>
    <row r="37" spans="4:11" x14ac:dyDescent="0.3">
      <c r="D37" s="9">
        <f t="shared" si="14"/>
        <v>6.7250731611900899E-2</v>
      </c>
      <c r="E37" s="9">
        <f t="shared" si="13"/>
        <v>6.8931482434465174E-2</v>
      </c>
      <c r="F37" s="9">
        <f t="shared" si="13"/>
        <v>6.8091182638318454E-2</v>
      </c>
      <c r="G37" s="9">
        <f t="shared" si="13"/>
        <v>6.8091110266343804E-2</v>
      </c>
      <c r="H37" s="9">
        <f t="shared" si="13"/>
        <v>6.6830646025114779E-2</v>
      </c>
      <c r="I37" s="9">
        <f t="shared" si="13"/>
        <v>6.8510710574266262E-2</v>
      </c>
      <c r="J37" s="11"/>
      <c r="K37" s="12"/>
    </row>
    <row r="38" spans="4:11" x14ac:dyDescent="0.3">
      <c r="D38" s="9">
        <f t="shared" si="14"/>
        <v>7.8599267867731124E-2</v>
      </c>
      <c r="E38" s="9">
        <f t="shared" si="13"/>
        <v>8.0280018690295399E-2</v>
      </c>
      <c r="F38" s="9">
        <f t="shared" si="13"/>
        <v>7.9019551225391921E-2</v>
      </c>
      <c r="G38" s="9">
        <f t="shared" si="13"/>
        <v>7.8599294381193813E-2</v>
      </c>
      <c r="H38" s="9">
        <f t="shared" si="13"/>
        <v>7.8599332501370314E-2</v>
      </c>
      <c r="I38" s="9">
        <f t="shared" si="13"/>
        <v>7.9859246830096486E-2</v>
      </c>
      <c r="J38" s="11"/>
      <c r="K38" s="12"/>
    </row>
    <row r="39" spans="4:11" x14ac:dyDescent="0.3">
      <c r="D39" s="9">
        <f t="shared" si="14"/>
        <v>8.9527636454804591E-2</v>
      </c>
      <c r="E39" s="9">
        <f t="shared" si="13"/>
        <v>9.0368002174474896E-2</v>
      </c>
      <c r="F39" s="9">
        <f t="shared" si="13"/>
        <v>9.0368087481222145E-2</v>
      </c>
      <c r="G39" s="9">
        <f t="shared" si="13"/>
        <v>8.9107478496043821E-2</v>
      </c>
      <c r="H39" s="9">
        <f t="shared" si="13"/>
        <v>8.8267099841600916E-2</v>
      </c>
      <c r="I39" s="9">
        <f t="shared" si="13"/>
        <v>8.9527014170327088E-2</v>
      </c>
      <c r="J39" s="11"/>
      <c r="K39" s="12"/>
    </row>
    <row r="40" spans="4:11" x14ac:dyDescent="0.3">
      <c r="D40" s="9">
        <f t="shared" si="14"/>
        <v>0.10087617271063481</v>
      </c>
      <c r="E40" s="9">
        <f t="shared" si="13"/>
        <v>0.10129637076154836</v>
      </c>
      <c r="F40" s="9">
        <f t="shared" si="13"/>
        <v>0.10087627159607215</v>
      </c>
      <c r="G40" s="9">
        <f t="shared" si="13"/>
        <v>0.10087616497229936</v>
      </c>
      <c r="H40" s="9">
        <f t="shared" si="13"/>
        <v>0.10003578631785645</v>
      </c>
      <c r="I40" s="9">
        <f t="shared" si="13"/>
        <v>0.10213594616379004</v>
      </c>
      <c r="J40" s="11"/>
      <c r="K40" s="12"/>
    </row>
    <row r="41" spans="4:11" x14ac:dyDescent="0.3">
      <c r="D41" s="9">
        <f>D30+D40</f>
        <v>0.11264485918689035</v>
      </c>
      <c r="E41" s="9">
        <f t="shared" ref="E41:I41" si="15">E30+E40</f>
        <v>0.11222473934862183</v>
      </c>
      <c r="F41" s="9">
        <f t="shared" si="15"/>
        <v>0.11180464018314562</v>
      </c>
      <c r="G41" s="9">
        <f t="shared" si="15"/>
        <v>0.11096414845647885</v>
      </c>
      <c r="H41" s="9">
        <f t="shared" si="15"/>
        <v>0.11222460492150195</v>
      </c>
      <c r="I41" s="9">
        <f t="shared" si="15"/>
        <v>0.11222392964796954</v>
      </c>
      <c r="J41" s="11"/>
      <c r="K41" s="12"/>
    </row>
    <row r="42" spans="4:11" x14ac:dyDescent="0.3">
      <c r="D42" s="8"/>
    </row>
    <row r="43" spans="4:11" x14ac:dyDescent="0.3">
      <c r="D43" s="8"/>
    </row>
    <row r="44" spans="4:11" x14ac:dyDescent="0.3">
      <c r="D44" s="8"/>
    </row>
    <row r="45" spans="4:11" x14ac:dyDescent="0.3">
      <c r="D45" s="8"/>
    </row>
    <row r="46" spans="4:11" x14ac:dyDescent="0.3">
      <c r="D46" s="8"/>
    </row>
  </sheetData>
  <mergeCells count="54">
    <mergeCell ref="B12:D12"/>
    <mergeCell ref="B13:D13"/>
    <mergeCell ref="B14:D14"/>
    <mergeCell ref="B15:D15"/>
    <mergeCell ref="B16:D16"/>
    <mergeCell ref="E3:J3"/>
    <mergeCell ref="E4:F4"/>
    <mergeCell ref="G4:H4"/>
    <mergeCell ref="I4:J4"/>
    <mergeCell ref="B11:D11"/>
    <mergeCell ref="B3:D5"/>
    <mergeCell ref="B6:D6"/>
    <mergeCell ref="B7:D7"/>
    <mergeCell ref="B8:D8"/>
    <mergeCell ref="B9:D9"/>
    <mergeCell ref="B10:D10"/>
    <mergeCell ref="B19:C20"/>
    <mergeCell ref="D19:E19"/>
    <mergeCell ref="F19:G19"/>
    <mergeCell ref="H19:I19"/>
    <mergeCell ref="J19:K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J29:K29"/>
    <mergeCell ref="J30:K30"/>
    <mergeCell ref="J21:K21"/>
    <mergeCell ref="J22:K22"/>
    <mergeCell ref="J23:K23"/>
    <mergeCell ref="J24:K24"/>
    <mergeCell ref="J25:K25"/>
    <mergeCell ref="J40:K40"/>
    <mergeCell ref="J41:K41"/>
    <mergeCell ref="A3:A5"/>
    <mergeCell ref="J35:K35"/>
    <mergeCell ref="J36:K36"/>
    <mergeCell ref="J37:K37"/>
    <mergeCell ref="J38:K38"/>
    <mergeCell ref="J39:K39"/>
    <mergeCell ref="J31:K31"/>
    <mergeCell ref="K3:K4"/>
    <mergeCell ref="J32:K32"/>
    <mergeCell ref="J33:K33"/>
    <mergeCell ref="J34:K34"/>
    <mergeCell ref="J26:K26"/>
    <mergeCell ref="J27:K27"/>
    <mergeCell ref="J28:K28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D6B93-0060-4739-91A1-69F83895F5D7}">
  <dimension ref="B3:K14"/>
  <sheetViews>
    <sheetView workbookViewId="0">
      <selection activeCell="B3" sqref="B3:K14"/>
    </sheetView>
  </sheetViews>
  <sheetFormatPr defaultRowHeight="16.2" x14ac:dyDescent="0.3"/>
  <cols>
    <col min="2" max="2" width="8.77734375" customWidth="1"/>
  </cols>
  <sheetData>
    <row r="3" spans="2:11" x14ac:dyDescent="0.3">
      <c r="B3" s="10" t="s">
        <v>17</v>
      </c>
      <c r="C3" s="10"/>
      <c r="D3" s="10" t="s">
        <v>13</v>
      </c>
      <c r="E3" s="10"/>
      <c r="F3" s="10" t="s">
        <v>14</v>
      </c>
      <c r="G3" s="10"/>
      <c r="H3" s="10" t="s">
        <v>13</v>
      </c>
      <c r="I3" s="10"/>
      <c r="J3" s="10" t="s">
        <v>28</v>
      </c>
      <c r="K3" s="10"/>
    </row>
    <row r="4" spans="2:11" x14ac:dyDescent="0.3">
      <c r="B4" s="10"/>
      <c r="C4" s="10"/>
      <c r="D4" s="3" t="s">
        <v>15</v>
      </c>
      <c r="E4" s="3" t="s">
        <v>16</v>
      </c>
      <c r="F4" s="3" t="s">
        <v>15</v>
      </c>
      <c r="G4" s="3" t="s">
        <v>16</v>
      </c>
      <c r="H4" s="3" t="s">
        <v>15</v>
      </c>
      <c r="I4" s="3" t="s">
        <v>16</v>
      </c>
      <c r="J4" s="10"/>
      <c r="K4" s="10"/>
    </row>
    <row r="5" spans="2:11" x14ac:dyDescent="0.3">
      <c r="B5" s="10" t="s">
        <v>18</v>
      </c>
      <c r="C5" s="10"/>
      <c r="D5" s="3"/>
      <c r="E5" s="3"/>
      <c r="F5" s="3"/>
      <c r="G5" s="3"/>
      <c r="H5" s="3"/>
      <c r="I5" s="3"/>
      <c r="J5" s="3"/>
      <c r="K5" s="3"/>
    </row>
    <row r="6" spans="2:11" x14ac:dyDescent="0.3">
      <c r="B6" s="10" t="s">
        <v>19</v>
      </c>
      <c r="C6" s="10"/>
      <c r="D6" s="3"/>
      <c r="E6" s="3"/>
      <c r="F6" s="3"/>
      <c r="G6" s="3"/>
      <c r="H6" s="3"/>
      <c r="I6" s="3"/>
      <c r="J6" s="3"/>
      <c r="K6" s="3"/>
    </row>
    <row r="7" spans="2:11" x14ac:dyDescent="0.3">
      <c r="B7" s="10" t="s">
        <v>20</v>
      </c>
      <c r="C7" s="10"/>
      <c r="D7" s="3"/>
      <c r="E7" s="3"/>
      <c r="F7" s="3"/>
      <c r="G7" s="3"/>
      <c r="H7" s="3"/>
      <c r="I7" s="3"/>
      <c r="J7" s="3"/>
      <c r="K7" s="3"/>
    </row>
    <row r="8" spans="2:11" x14ac:dyDescent="0.3">
      <c r="B8" s="10" t="s">
        <v>21</v>
      </c>
      <c r="C8" s="10"/>
      <c r="D8" s="3"/>
      <c r="E8" s="3"/>
      <c r="F8" s="3"/>
      <c r="G8" s="3"/>
      <c r="H8" s="3"/>
      <c r="I8" s="3"/>
      <c r="J8" s="3"/>
      <c r="K8" s="3"/>
    </row>
    <row r="9" spans="2:11" x14ac:dyDescent="0.3">
      <c r="B9" s="10" t="s">
        <v>22</v>
      </c>
      <c r="C9" s="10"/>
      <c r="D9" s="3"/>
      <c r="E9" s="3"/>
      <c r="F9" s="3"/>
      <c r="G9" s="3"/>
      <c r="H9" s="3"/>
      <c r="I9" s="3"/>
      <c r="J9" s="3"/>
      <c r="K9" s="3"/>
    </row>
    <row r="10" spans="2:11" x14ac:dyDescent="0.3">
      <c r="B10" s="10" t="s">
        <v>23</v>
      </c>
      <c r="C10" s="10"/>
      <c r="D10" s="3"/>
      <c r="E10" s="3"/>
      <c r="F10" s="3"/>
      <c r="G10" s="3"/>
      <c r="H10" s="3"/>
      <c r="I10" s="3"/>
      <c r="J10" s="3"/>
      <c r="K10" s="3"/>
    </row>
    <row r="11" spans="2:11" x14ac:dyDescent="0.3">
      <c r="B11" s="10" t="s">
        <v>24</v>
      </c>
      <c r="C11" s="10"/>
      <c r="D11" s="3"/>
      <c r="E11" s="3"/>
      <c r="F11" s="3"/>
      <c r="G11" s="3"/>
      <c r="H11" s="3"/>
      <c r="I11" s="3"/>
      <c r="J11" s="3"/>
      <c r="K11" s="3"/>
    </row>
    <row r="12" spans="2:11" x14ac:dyDescent="0.3">
      <c r="B12" s="10" t="s">
        <v>25</v>
      </c>
      <c r="C12" s="10"/>
      <c r="D12" s="3"/>
      <c r="E12" s="3"/>
      <c r="F12" s="3"/>
      <c r="G12" s="3"/>
      <c r="H12" s="3"/>
      <c r="I12" s="3"/>
      <c r="J12" s="3"/>
      <c r="K12" s="3"/>
    </row>
    <row r="13" spans="2:11" x14ac:dyDescent="0.3">
      <c r="B13" s="10" t="s">
        <v>26</v>
      </c>
      <c r="C13" s="10"/>
      <c r="D13" s="3"/>
      <c r="E13" s="3"/>
      <c r="F13" s="3"/>
      <c r="G13" s="3"/>
      <c r="H13" s="3"/>
      <c r="I13" s="3"/>
      <c r="J13" s="3"/>
      <c r="K13" s="3"/>
    </row>
    <row r="14" spans="2:11" x14ac:dyDescent="0.3">
      <c r="B14" s="10" t="s">
        <v>27</v>
      </c>
      <c r="C14" s="10"/>
      <c r="D14" s="3"/>
      <c r="E14" s="3"/>
      <c r="F14" s="3"/>
      <c r="G14" s="3"/>
      <c r="H14" s="3"/>
      <c r="I14" s="3"/>
      <c r="J14" s="3"/>
      <c r="K14" s="3"/>
    </row>
  </sheetData>
  <mergeCells count="15">
    <mergeCell ref="B10:C10"/>
    <mergeCell ref="B11:C11"/>
    <mergeCell ref="B12:C12"/>
    <mergeCell ref="B13:C13"/>
    <mergeCell ref="B14:C14"/>
    <mergeCell ref="J3:K4"/>
    <mergeCell ref="D3:E3"/>
    <mergeCell ref="F3:G3"/>
    <mergeCell ref="H3:I3"/>
    <mergeCell ref="B9:C9"/>
    <mergeCell ref="B3:C4"/>
    <mergeCell ref="B5:C5"/>
    <mergeCell ref="B6:C6"/>
    <mergeCell ref="B7:C7"/>
    <mergeCell ref="B8:C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2025-11-16T16:15:57Z</dcterms:created>
  <dcterms:modified xsi:type="dcterms:W3CDTF">2025-11-17T02:05:51Z</dcterms:modified>
</cp:coreProperties>
</file>