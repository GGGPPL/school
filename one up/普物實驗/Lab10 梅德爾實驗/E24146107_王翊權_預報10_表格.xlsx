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10 梅德爾實驗\"/>
    </mc:Choice>
  </mc:AlternateContent>
  <xr:revisionPtr revIDLastSave="0" documentId="13_ncr:1_{F73CE031-BDBD-49C0-A8E2-2218DF5D2973}" xr6:coauthVersionLast="47" xr6:coauthVersionMax="47" xr10:uidLastSave="{00000000-0000-0000-0000-000000000000}"/>
  <bookViews>
    <workbookView xWindow="-108" yWindow="-108" windowWidth="18648" windowHeight="11784" activeTab="1" xr2:uid="{1CE423FF-CDFB-4175-A94B-2D2FC1D7D35B}"/>
  </bookViews>
  <sheets>
    <sheet name="水平" sheetId="1" r:id="rId1"/>
    <sheet name="垂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G3" i="2"/>
  <c r="J17" i="1"/>
  <c r="H17" i="1"/>
  <c r="J4" i="1"/>
  <c r="H4" i="1"/>
  <c r="C5" i="2"/>
  <c r="E5" i="2"/>
  <c r="F5" i="2" s="1"/>
  <c r="C4" i="2"/>
  <c r="F4" i="2"/>
  <c r="E4" i="2"/>
  <c r="C3" i="2"/>
  <c r="F3" i="2"/>
  <c r="E3" i="2"/>
  <c r="G18" i="1"/>
  <c r="G17" i="1"/>
  <c r="D18" i="1"/>
  <c r="F18" i="1"/>
  <c r="D17" i="1"/>
  <c r="F17" i="1"/>
  <c r="F7" i="1"/>
  <c r="D7" i="1"/>
  <c r="F6" i="1"/>
  <c r="F5" i="1"/>
  <c r="F4" i="1"/>
  <c r="D5" i="1"/>
  <c r="D6" i="1"/>
  <c r="D4" i="1"/>
  <c r="G4" i="1" l="1"/>
  <c r="G7" i="1"/>
  <c r="G5" i="1"/>
  <c r="G6" i="1"/>
</calcChain>
</file>

<file path=xl/sharedStrings.xml><?xml version="1.0" encoding="utf-8"?>
<sst xmlns="http://schemas.openxmlformats.org/spreadsheetml/2006/main" count="35" uniqueCount="13">
  <si>
    <t>弓形波數</t>
    <phoneticPr fontId="1" type="noConversion"/>
  </si>
  <si>
    <t>總掛載質量</t>
    <phoneticPr fontId="1" type="noConversion"/>
  </si>
  <si>
    <t>張力</t>
    <phoneticPr fontId="1" type="noConversion"/>
  </si>
  <si>
    <t>弦長</t>
    <phoneticPr fontId="1" type="noConversion"/>
  </si>
  <si>
    <t>波長</t>
    <phoneticPr fontId="1" type="noConversion"/>
  </si>
  <si>
    <t>百分誤差</t>
    <phoneticPr fontId="1" type="noConversion"/>
  </si>
  <si>
    <t>細繩</t>
    <phoneticPr fontId="1" type="noConversion"/>
  </si>
  <si>
    <t>粗繩</t>
    <phoneticPr fontId="1" type="noConversion"/>
  </si>
  <si>
    <t>理論頻率</t>
    <phoneticPr fontId="1" type="noConversion"/>
  </si>
  <si>
    <t>計算頻率</t>
    <phoneticPr fontId="1" type="noConversion"/>
  </si>
  <si>
    <t>線密度</t>
    <phoneticPr fontId="1" type="noConversion"/>
  </si>
  <si>
    <t>平均頻率</t>
    <phoneticPr fontId="1" type="noConversion"/>
  </si>
  <si>
    <t>重力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</si>
</sst>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0" fontId="0" fillId="0" borderId="1" xfId="0" applyFill="1" applyBorder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5392-9E02-4310-AEB2-CF525FDF9A87}">
  <dimension ref="B2:M20"/>
  <sheetViews>
    <sheetView zoomScale="76" workbookViewId="0">
      <selection activeCell="M3" sqref="M3:M4"/>
    </sheetView>
  </sheetViews>
  <sheetFormatPr defaultRowHeight="16.2" x14ac:dyDescent="0.3"/>
  <cols>
    <col min="7" max="7" width="13.88671875" bestFit="1" customWidth="1"/>
  </cols>
  <sheetData>
    <row r="2" spans="2:13" x14ac:dyDescent="0.3">
      <c r="B2" s="1" t="s">
        <v>6</v>
      </c>
    </row>
    <row r="3" spans="2:13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9</v>
      </c>
      <c r="H3" s="1" t="s">
        <v>11</v>
      </c>
      <c r="I3" s="1" t="s">
        <v>8</v>
      </c>
      <c r="J3" s="1" t="s">
        <v>5</v>
      </c>
      <c r="L3" s="1" t="s">
        <v>10</v>
      </c>
      <c r="M3" s="10" t="s">
        <v>12</v>
      </c>
    </row>
    <row r="4" spans="2:13" x14ac:dyDescent="0.3">
      <c r="B4" s="1">
        <v>4</v>
      </c>
      <c r="C4" s="1">
        <v>50</v>
      </c>
      <c r="D4" s="1">
        <f>C4*M$4</f>
        <v>49000</v>
      </c>
      <c r="E4" s="1">
        <v>149</v>
      </c>
      <c r="F4" s="9">
        <f>E4/B4*2</f>
        <v>74.5</v>
      </c>
      <c r="G4" s="1">
        <f>1/F4*(D4/L$4)^(1/2)</f>
        <v>60.151554330890718</v>
      </c>
      <c r="H4" s="3">
        <f>AVERAGE(G4:G7)</f>
        <v>61.350534585536103</v>
      </c>
      <c r="I4" s="3">
        <v>60</v>
      </c>
      <c r="J4" s="6">
        <f>ABS((I4-H4)/I4)</f>
        <v>2.2508909758935047E-2</v>
      </c>
      <c r="L4" s="1">
        <v>2.4399999999999999E-3</v>
      </c>
      <c r="M4" s="1">
        <v>980</v>
      </c>
    </row>
    <row r="5" spans="2:13" x14ac:dyDescent="0.3">
      <c r="B5" s="1">
        <v>3</v>
      </c>
      <c r="C5" s="1">
        <v>70</v>
      </c>
      <c r="D5" s="1">
        <f t="shared" ref="D5:D7" si="0">C5*M$4</f>
        <v>68600</v>
      </c>
      <c r="E5" s="1">
        <v>129</v>
      </c>
      <c r="F5" s="9">
        <f>E5/B5*2</f>
        <v>86</v>
      </c>
      <c r="G5" s="1">
        <f t="shared" ref="G5:G7" si="1">1/F5*SQRT(D5/L$4)</f>
        <v>61.655055558547808</v>
      </c>
      <c r="H5" s="4"/>
      <c r="I5" s="4"/>
      <c r="J5" s="7"/>
    </row>
    <row r="6" spans="2:13" x14ac:dyDescent="0.3">
      <c r="B6" s="1">
        <v>2</v>
      </c>
      <c r="C6" s="1">
        <v>170</v>
      </c>
      <c r="D6" s="1">
        <f t="shared" si="0"/>
        <v>166600</v>
      </c>
      <c r="E6" s="1">
        <v>133.5</v>
      </c>
      <c r="F6" s="9">
        <f>E6/B6*2</f>
        <v>133.5</v>
      </c>
      <c r="G6" s="1">
        <f t="shared" si="1"/>
        <v>61.89581982772166</v>
      </c>
      <c r="H6" s="4"/>
      <c r="I6" s="4"/>
      <c r="J6" s="7"/>
    </row>
    <row r="7" spans="2:13" x14ac:dyDescent="0.3">
      <c r="B7" s="1">
        <v>1</v>
      </c>
      <c r="C7" s="1">
        <v>600</v>
      </c>
      <c r="D7" s="1">
        <f t="shared" si="0"/>
        <v>588000</v>
      </c>
      <c r="E7" s="1">
        <v>125.8</v>
      </c>
      <c r="F7" s="9">
        <f>E7/B7*2</f>
        <v>251.6</v>
      </c>
      <c r="G7" s="1">
        <f t="shared" si="1"/>
        <v>61.699708624984218</v>
      </c>
      <c r="H7" s="5"/>
      <c r="I7" s="5"/>
      <c r="J7" s="8"/>
    </row>
    <row r="8" spans="2:13" x14ac:dyDescent="0.3">
      <c r="B8" s="1">
        <v>5</v>
      </c>
      <c r="C8" s="1">
        <v>50</v>
      </c>
      <c r="D8" s="1"/>
      <c r="E8" s="1"/>
      <c r="F8" s="1"/>
      <c r="G8" s="1"/>
      <c r="H8" s="2"/>
      <c r="I8" s="1">
        <v>80</v>
      </c>
      <c r="J8" s="1"/>
    </row>
    <row r="9" spans="2:13" x14ac:dyDescent="0.3">
      <c r="B9" s="1">
        <v>4</v>
      </c>
      <c r="C9" s="1">
        <v>70</v>
      </c>
      <c r="D9" s="1"/>
      <c r="E9" s="1"/>
      <c r="F9" s="1"/>
      <c r="G9" s="1"/>
      <c r="H9" s="2"/>
      <c r="I9" s="1">
        <v>80</v>
      </c>
      <c r="J9" s="1"/>
    </row>
    <row r="10" spans="2:13" x14ac:dyDescent="0.3">
      <c r="B10" s="1">
        <v>2</v>
      </c>
      <c r="C10" s="1">
        <v>170</v>
      </c>
      <c r="D10" s="1"/>
      <c r="E10" s="1"/>
      <c r="F10" s="1"/>
      <c r="G10" s="1"/>
      <c r="H10" s="2"/>
      <c r="I10" s="1">
        <v>80</v>
      </c>
      <c r="J10" s="1"/>
    </row>
    <row r="11" spans="2:13" x14ac:dyDescent="0.3">
      <c r="B11" s="1">
        <v>1</v>
      </c>
      <c r="C11" s="1">
        <v>850</v>
      </c>
      <c r="D11" s="1"/>
      <c r="E11" s="1"/>
      <c r="F11" s="1"/>
      <c r="G11" s="1"/>
      <c r="H11" s="2"/>
      <c r="I11" s="1">
        <v>80</v>
      </c>
      <c r="J11" s="1"/>
    </row>
    <row r="15" spans="2:13" x14ac:dyDescent="0.3">
      <c r="B15" s="1" t="s">
        <v>7</v>
      </c>
    </row>
    <row r="16" spans="2:13" x14ac:dyDescent="0.3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9</v>
      </c>
      <c r="H16" s="1" t="s">
        <v>11</v>
      </c>
      <c r="I16" s="1" t="s">
        <v>8</v>
      </c>
      <c r="J16" s="1" t="s">
        <v>5</v>
      </c>
      <c r="L16" s="1" t="s">
        <v>10</v>
      </c>
    </row>
    <row r="17" spans="2:12" x14ac:dyDescent="0.3">
      <c r="B17" s="1">
        <v>2</v>
      </c>
      <c r="C17" s="1">
        <v>550</v>
      </c>
      <c r="D17" s="1">
        <f>C17*M$4</f>
        <v>539000</v>
      </c>
      <c r="E17" s="1">
        <v>135.80000000000001</v>
      </c>
      <c r="F17" s="9">
        <f>E17/B17*2</f>
        <v>135.80000000000001</v>
      </c>
      <c r="G17" s="1">
        <f>1/F17*(D17/L$17)^(1/2)</f>
        <v>61.810733177362664</v>
      </c>
      <c r="H17" s="3">
        <f>AVERAGE(G17:G18)</f>
        <v>62.044565073050009</v>
      </c>
      <c r="I17" s="3">
        <v>60</v>
      </c>
      <c r="J17" s="6">
        <f>ABS((I17-H17)/I17)</f>
        <v>3.4076084550833483E-2</v>
      </c>
      <c r="L17" s="1">
        <v>7.6499999999999997E-3</v>
      </c>
    </row>
    <row r="18" spans="2:12" x14ac:dyDescent="0.3">
      <c r="B18" s="1">
        <v>4</v>
      </c>
      <c r="C18" s="1">
        <v>140</v>
      </c>
      <c r="D18" s="1">
        <f>C18*M$4</f>
        <v>137200</v>
      </c>
      <c r="E18" s="1">
        <v>136</v>
      </c>
      <c r="F18" s="9">
        <f>E18/B18*2</f>
        <v>68</v>
      </c>
      <c r="G18" s="1">
        <f>1/F18*(D18/L$17)^(1/2)</f>
        <v>62.278396968737361</v>
      </c>
      <c r="H18" s="5"/>
      <c r="I18" s="5"/>
      <c r="J18" s="8"/>
    </row>
    <row r="19" spans="2:12" x14ac:dyDescent="0.3">
      <c r="B19" s="1">
        <v>3</v>
      </c>
      <c r="C19" s="1">
        <v>550</v>
      </c>
      <c r="D19" s="1"/>
      <c r="E19" s="1"/>
      <c r="F19" s="1"/>
      <c r="G19" s="1"/>
      <c r="H19" s="1"/>
      <c r="I19" s="1">
        <v>80</v>
      </c>
      <c r="J19" s="1"/>
    </row>
    <row r="20" spans="2:12" x14ac:dyDescent="0.3">
      <c r="B20" s="1">
        <v>5</v>
      </c>
      <c r="C20" s="1">
        <v>140</v>
      </c>
      <c r="D20" s="1"/>
      <c r="E20" s="1"/>
      <c r="F20" s="1"/>
      <c r="G20" s="1"/>
      <c r="H20" s="1"/>
      <c r="I20" s="1">
        <v>80</v>
      </c>
      <c r="J20" s="1"/>
    </row>
  </sheetData>
  <mergeCells count="6">
    <mergeCell ref="H4:H7"/>
    <mergeCell ref="J4:J7"/>
    <mergeCell ref="H17:H18"/>
    <mergeCell ref="J17:J18"/>
    <mergeCell ref="I4:I7"/>
    <mergeCell ref="I17:I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BB6-B4A1-4A26-8EA5-6843EA026EDD}">
  <dimension ref="A1:L8"/>
  <sheetViews>
    <sheetView tabSelected="1" workbookViewId="0">
      <selection activeCell="L2" sqref="L2:L3"/>
    </sheetView>
  </sheetViews>
  <sheetFormatPr defaultRowHeight="16.2" x14ac:dyDescent="0.3"/>
  <sheetData>
    <row r="1" spans="1:12" x14ac:dyDescent="0.3">
      <c r="A1" s="1" t="s">
        <v>7</v>
      </c>
    </row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9</v>
      </c>
      <c r="G2" s="1" t="s">
        <v>11</v>
      </c>
      <c r="H2" s="1" t="s">
        <v>8</v>
      </c>
      <c r="I2" s="1" t="s">
        <v>5</v>
      </c>
      <c r="K2" s="1" t="s">
        <v>10</v>
      </c>
      <c r="L2" s="10" t="s">
        <v>12</v>
      </c>
    </row>
    <row r="3" spans="1:12" x14ac:dyDescent="0.3">
      <c r="A3" s="1">
        <v>3</v>
      </c>
      <c r="B3" s="1">
        <v>70</v>
      </c>
      <c r="C3" s="1">
        <f>B3*L$3</f>
        <v>68600</v>
      </c>
      <c r="D3" s="9">
        <v>149.30000000000001</v>
      </c>
      <c r="E3" s="1">
        <f>D3/A3*2</f>
        <v>99.533333333333346</v>
      </c>
      <c r="F3" s="1">
        <f>1/E3*(C3/K$3)^(1/2)</f>
        <v>30.085885033075922</v>
      </c>
      <c r="G3" s="3">
        <f>AVERAGE(F3:F5)</f>
        <v>29.839477754102656</v>
      </c>
      <c r="H3" s="3">
        <v>30</v>
      </c>
      <c r="I3" s="6">
        <f>ABS((G3-H3)/H3)</f>
        <v>5.350741529911455E-3</v>
      </c>
      <c r="K3" s="1">
        <v>7.6499999999999997E-3</v>
      </c>
      <c r="L3" s="1">
        <v>980</v>
      </c>
    </row>
    <row r="4" spans="1:12" x14ac:dyDescent="0.3">
      <c r="A4" s="1">
        <v>2</v>
      </c>
      <c r="B4" s="1">
        <v>160</v>
      </c>
      <c r="C4" s="1">
        <f>B4*L$3</f>
        <v>156800</v>
      </c>
      <c r="D4" s="9">
        <v>151.6</v>
      </c>
      <c r="E4" s="1">
        <f>D4/A4*2</f>
        <v>151.6</v>
      </c>
      <c r="F4" s="1">
        <f>1/E4*(C4/K$3)^(1/2)</f>
        <v>29.863665351879174</v>
      </c>
      <c r="G4" s="4"/>
      <c r="H4" s="4"/>
      <c r="I4" s="7"/>
    </row>
    <row r="5" spans="1:12" x14ac:dyDescent="0.3">
      <c r="A5" s="1">
        <v>1</v>
      </c>
      <c r="B5" s="1">
        <v>620</v>
      </c>
      <c r="C5" s="1">
        <f>B5*L$3</f>
        <v>607600</v>
      </c>
      <c r="D5" s="9">
        <v>150.69999999999999</v>
      </c>
      <c r="E5" s="1">
        <f>D5/A5*2</f>
        <v>301.39999999999998</v>
      </c>
      <c r="F5" s="1">
        <f>1/E5*(C5/K$3)^(1/2)</f>
        <v>29.568882877352873</v>
      </c>
      <c r="G5" s="5"/>
      <c r="H5" s="5"/>
      <c r="I5" s="8"/>
    </row>
    <row r="6" spans="1:12" x14ac:dyDescent="0.3">
      <c r="A6" s="1">
        <v>3</v>
      </c>
      <c r="B6" s="1">
        <v>70</v>
      </c>
      <c r="C6" s="1"/>
      <c r="D6" s="1"/>
      <c r="E6" s="1"/>
      <c r="F6" s="1"/>
      <c r="G6" s="1"/>
      <c r="H6" s="1">
        <v>40</v>
      </c>
      <c r="I6" s="1"/>
    </row>
    <row r="7" spans="1:12" x14ac:dyDescent="0.3">
      <c r="A7" s="1">
        <v>2</v>
      </c>
      <c r="B7" s="1">
        <v>220</v>
      </c>
      <c r="C7" s="1"/>
      <c r="D7" s="1"/>
      <c r="E7" s="1"/>
      <c r="F7" s="1"/>
      <c r="G7" s="1"/>
      <c r="H7" s="1">
        <v>40</v>
      </c>
      <c r="I7" s="1"/>
    </row>
    <row r="8" spans="1:12" x14ac:dyDescent="0.3">
      <c r="A8" s="1">
        <v>1</v>
      </c>
      <c r="B8" s="1">
        <v>710</v>
      </c>
      <c r="C8" s="1"/>
      <c r="D8" s="1"/>
      <c r="E8" s="1"/>
      <c r="F8" s="1"/>
      <c r="G8" s="1"/>
      <c r="H8" s="1">
        <v>40</v>
      </c>
      <c r="I8" s="1"/>
    </row>
  </sheetData>
  <mergeCells count="3">
    <mergeCell ref="G3:G5"/>
    <mergeCell ref="I3:I5"/>
    <mergeCell ref="H3:H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水平</vt:lpstr>
      <vt:lpstr>垂直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2025-11-23T19:14:23Z</dcterms:created>
  <dcterms:modified xsi:type="dcterms:W3CDTF">2025-11-24T01:11:22Z</dcterms:modified>
</cp:coreProperties>
</file>