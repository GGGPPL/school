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up\普物實驗\Lab8 角速度、外加力矩及轉動慣量關係\"/>
    </mc:Choice>
  </mc:AlternateContent>
  <xr:revisionPtr revIDLastSave="0" documentId="8_{45FA1FFC-DF26-4447-A846-C281D6330A32}" xr6:coauthVersionLast="47" xr6:coauthVersionMax="47" xr10:uidLastSave="{00000000-0000-0000-0000-000000000000}"/>
  <bookViews>
    <workbookView xWindow="-110" yWindow="-110" windowWidth="25820" windowHeight="13900" activeTab="3" xr2:uid="{F8697BF3-F2B8-4E38-A2DC-9272F9073013}"/>
  </bookViews>
  <sheets>
    <sheet name="定力矩角加速度" sheetId="1" r:id="rId1"/>
    <sheet name="驗證角加速度與外加力矩成正比" sheetId="2" r:id="rId2"/>
    <sheet name="工作表3" sheetId="3" r:id="rId3"/>
    <sheet name="驗證平行軸定理" sheetId="4" r:id="rId4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4" l="1"/>
  <c r="F17" i="4"/>
  <c r="F18" i="4"/>
  <c r="F19" i="4"/>
  <c r="F15" i="4"/>
  <c r="B12" i="4"/>
  <c r="D8" i="4"/>
  <c r="C19" i="4" s="1"/>
  <c r="E19" i="4" s="1"/>
  <c r="D6" i="4"/>
  <c r="C18" i="4" s="1"/>
  <c r="E18" i="4" s="1"/>
  <c r="I8" i="4"/>
  <c r="I6" i="4"/>
  <c r="E17" i="4"/>
  <c r="E16" i="4"/>
  <c r="E15" i="4"/>
  <c r="F7" i="3"/>
  <c r="F9" i="3"/>
  <c r="F6" i="3"/>
  <c r="K7" i="1"/>
  <c r="K8" i="1"/>
  <c r="L9" i="3"/>
  <c r="L6" i="3"/>
  <c r="K9" i="2"/>
  <c r="E9" i="2"/>
  <c r="G9" i="2"/>
  <c r="I9" i="2"/>
  <c r="K6" i="1"/>
  <c r="E7" i="3"/>
  <c r="E9" i="3"/>
  <c r="E6" i="3"/>
  <c r="M6" i="1" l="1"/>
  <c r="D7" i="1"/>
  <c r="D8" i="1"/>
  <c r="D9" i="1"/>
  <c r="D10" i="1"/>
  <c r="D11" i="1"/>
  <c r="D12" i="1"/>
  <c r="D6" i="1"/>
  <c r="J6" i="3" l="1"/>
  <c r="K6" i="3" s="1"/>
  <c r="M6" i="3" s="1"/>
  <c r="J7" i="3"/>
  <c r="K7" i="3" s="1"/>
  <c r="M7" i="3" s="1"/>
  <c r="J9" i="3"/>
  <c r="K9" i="3" s="1"/>
  <c r="M9" i="3" s="1"/>
  <c r="D7" i="3"/>
  <c r="D9" i="3"/>
  <c r="D6" i="3"/>
  <c r="H8" i="4"/>
  <c r="H6" i="4"/>
  <c r="L6" i="2"/>
  <c r="J6" i="2"/>
  <c r="H6" i="2"/>
  <c r="F6" i="2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6" i="1"/>
  <c r="I6" i="1" s="1"/>
  <c r="C9" i="1"/>
  <c r="C10" i="1"/>
  <c r="C11" i="1"/>
  <c r="C12" i="1"/>
  <c r="B11" i="1"/>
  <c r="B9" i="1"/>
  <c r="B8" i="1"/>
  <c r="C8" i="1" s="1"/>
  <c r="B7" i="1"/>
  <c r="C7" i="1" s="1"/>
  <c r="B6" i="1"/>
  <c r="C6" i="1" s="1"/>
</calcChain>
</file>

<file path=xl/sharedStrings.xml><?xml version="1.0" encoding="utf-8"?>
<sst xmlns="http://schemas.openxmlformats.org/spreadsheetml/2006/main" count="59" uniqueCount="35">
  <si>
    <t>r</t>
    <phoneticPr fontId="1" type="noConversion"/>
  </si>
  <si>
    <t>圈數</t>
    <phoneticPr fontId="1" type="noConversion"/>
  </si>
  <si>
    <t>角位移</t>
    <phoneticPr fontId="1" type="noConversion"/>
  </si>
  <si>
    <t>時間</t>
    <phoneticPr fontId="1" type="noConversion"/>
  </si>
  <si>
    <t>平均值</t>
    <phoneticPr fontId="1" type="noConversion"/>
  </si>
  <si>
    <t>t^2</t>
    <phoneticPr fontId="1" type="noConversion"/>
  </si>
  <si>
    <t>平均</t>
    <phoneticPr fontId="1" type="noConversion"/>
  </si>
  <si>
    <t>角加速度2\theta/(t^2)</t>
    <phoneticPr fontId="1" type="noConversion"/>
  </si>
  <si>
    <t>2\pi</t>
    <phoneticPr fontId="1" type="noConversion"/>
  </si>
  <si>
    <t>轉動體</t>
    <phoneticPr fontId="1" type="noConversion"/>
  </si>
  <si>
    <t>轉動慣量g\dot cm^2</t>
    <phoneticPr fontId="1" type="noConversion"/>
  </si>
  <si>
    <t>平均時間</t>
    <phoneticPr fontId="1" type="noConversion"/>
  </si>
  <si>
    <t>圓盤</t>
    <phoneticPr fontId="1" type="noConversion"/>
  </si>
  <si>
    <t>圓盤+圓環</t>
    <phoneticPr fontId="1" type="noConversion"/>
  </si>
  <si>
    <t>兩個圓盤</t>
    <phoneticPr fontId="1" type="noConversion"/>
  </si>
  <si>
    <t>圓盤+兩個1kg圓柱(d/2)</t>
    <phoneticPr fontId="1" type="noConversion"/>
  </si>
  <si>
    <t>圓盤+兩個1/4kg圓柱(d)</t>
    <phoneticPr fontId="1" type="noConversion"/>
  </si>
  <si>
    <t>\tau</t>
    <phoneticPr fontId="1" type="noConversion"/>
  </si>
  <si>
    <t xml:space="preserve">轉動體 </t>
  </si>
  <si>
    <t xml:space="preserve">圓盤 </t>
  </si>
  <si>
    <t xml:space="preserve">圓盤 + 圓環 </t>
  </si>
  <si>
    <t xml:space="preserve">兩個圓盤 </t>
  </si>
  <si>
    <t xml:space="preserve">圓盤 + 兩個1 kg圓柱(d/2) </t>
  </si>
  <si>
    <t xml:space="preserve">圓盤 + 兩個1/4kg圓柱(d) </t>
  </si>
  <si>
    <t>\frac{\tau}{I'\alpha}</t>
    <phoneticPr fontId="1" type="noConversion"/>
  </si>
  <si>
    <t>I'</t>
    <phoneticPr fontId="1" type="noConversion"/>
  </si>
  <si>
    <t>I'\alpha</t>
    <phoneticPr fontId="1" type="noConversion"/>
  </si>
  <si>
    <t>I</t>
    <phoneticPr fontId="1" type="noConversion"/>
  </si>
  <si>
    <t>\alpha</t>
    <phoneticPr fontId="1" type="noConversion"/>
  </si>
  <si>
    <t>mgr</t>
    <phoneticPr fontId="1" type="noConversion"/>
  </si>
  <si>
    <t>理論力矩</t>
    <phoneticPr fontId="1" type="noConversion"/>
  </si>
  <si>
    <t>測量力矩</t>
    <phoneticPr fontId="1" type="noConversion"/>
  </si>
  <si>
    <t>2\theta</t>
    <phoneticPr fontId="1" type="noConversion"/>
  </si>
  <si>
    <t>1/I'</t>
    <phoneticPr fontId="1" type="noConversion"/>
  </si>
  <si>
    <t>支架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</si>
</sst>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);[Red]\(0.00\)"/>
    <numFmt numFmtId="177" formatCode="0.0000"/>
    <numFmt numFmtId="178" formatCode="0.00_ "/>
    <numFmt numFmtId="179" formatCode="0.0000%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2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2" fontId="0" fillId="0" borderId="1" xfId="0" applyNumberFormat="1" applyBorder="1">
      <alignment vertical="center"/>
    </xf>
    <xf numFmtId="0" fontId="0" fillId="0" borderId="0" xfId="0" applyAlignment="1">
      <alignment horizontal="center" vertical="center"/>
    </xf>
    <xf numFmtId="177" fontId="0" fillId="0" borderId="2" xfId="0" applyNumberFormat="1" applyBorder="1">
      <alignment vertical="center"/>
    </xf>
    <xf numFmtId="178" fontId="0" fillId="0" borderId="0" xfId="0" applyNumberFormat="1">
      <alignment vertical="center"/>
    </xf>
    <xf numFmtId="179" fontId="0" fillId="0" borderId="0" xfId="1" applyNumberFormat="1" applyFont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1" fontId="0" fillId="0" borderId="3" xfId="0" applyNumberForma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6.5247594050743651E-2"/>
          <c:y val="0.13446342617066862"/>
          <c:w val="0.87764129483814524"/>
          <c:h val="0.7168411424278680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xVal>
            <c:numRef>
              <c:f>定力矩角加速度!$I$6:$I$12</c:f>
              <c:numCache>
                <c:formatCode>General</c:formatCode>
                <c:ptCount val="7"/>
                <c:pt idx="0">
                  <c:v>23.457877777777774</c:v>
                </c:pt>
                <c:pt idx="1">
                  <c:v>52.901377777777739</c:v>
                </c:pt>
                <c:pt idx="2">
                  <c:v>105.1992111111111</c:v>
                </c:pt>
                <c:pt idx="3">
                  <c:v>164.78001111111104</c:v>
                </c:pt>
                <c:pt idx="4">
                  <c:v>218.74409999999992</c:v>
                </c:pt>
                <c:pt idx="5">
                  <c:v>336.72249999999991</c:v>
                </c:pt>
                <c:pt idx="6">
                  <c:v>419.15737777777775</c:v>
                </c:pt>
              </c:numCache>
            </c:numRef>
          </c:xVal>
          <c:yVal>
            <c:numRef>
              <c:f>定力矩角加速度!$D$6:$D$12</c:f>
              <c:numCache>
                <c:formatCode>General</c:formatCode>
                <c:ptCount val="7"/>
                <c:pt idx="0">
                  <c:v>1.5707963267948966</c:v>
                </c:pt>
                <c:pt idx="1">
                  <c:v>3.1415926535897931</c:v>
                </c:pt>
                <c:pt idx="2">
                  <c:v>6.2831853071795862</c:v>
                </c:pt>
                <c:pt idx="3">
                  <c:v>9.4247779607693793</c:v>
                </c:pt>
                <c:pt idx="4">
                  <c:v>12.566370614359172</c:v>
                </c:pt>
                <c:pt idx="5">
                  <c:v>18.849555921538759</c:v>
                </c:pt>
                <c:pt idx="6">
                  <c:v>25.132741228718345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04E3-4C68-84D4-088CFF2FA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7650703"/>
        <c:axId val="1257648783"/>
      </c:scatterChart>
      <c:valAx>
        <c:axId val="1257650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57648783"/>
        <c:crosses val="autoZero"/>
        <c:crossBetween val="midCat"/>
      </c:valAx>
      <c:valAx>
        <c:axId val="125764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57650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驗證角加速度與外加力矩成正比!$E$4:$L$4</c:f>
              <c:numCache>
                <c:formatCode>General</c:formatCode>
                <c:ptCount val="8"/>
                <c:pt idx="0">
                  <c:v>10</c:v>
                </c:pt>
                <c:pt idx="2">
                  <c:v>20</c:v>
                </c:pt>
                <c:pt idx="4">
                  <c:v>30</c:v>
                </c:pt>
                <c:pt idx="6">
                  <c:v>40</c:v>
                </c:pt>
              </c:numCache>
            </c:numRef>
          </c:xVal>
          <c:yVal>
            <c:numRef>
              <c:f>驗證角加速度與外加力矩成正比!$E$9:$L$9</c:f>
              <c:numCache>
                <c:formatCode>General</c:formatCode>
                <c:ptCount val="8"/>
                <c:pt idx="0">
                  <c:v>5.8311975246489935E-2</c:v>
                </c:pt>
                <c:pt idx="2">
                  <c:v>0.10641850985098474</c:v>
                </c:pt>
                <c:pt idx="4">
                  <c:v>0.16153725318101997</c:v>
                </c:pt>
                <c:pt idx="6">
                  <c:v>0.21491441516672607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13-44C4-9BF9-E8ECB6F7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693775"/>
        <c:axId val="2046694255"/>
      </c:scatterChart>
      <c:valAx>
        <c:axId val="2046693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6694255"/>
        <c:crosses val="autoZero"/>
        <c:crossBetween val="midCat"/>
      </c:valAx>
      <c:valAx>
        <c:axId val="2046694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046693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工作表3!$F$6:$F$9</c:f>
              <c:numCache>
                <c:formatCode>0.00E+00</c:formatCode>
                <c:ptCount val="4"/>
                <c:pt idx="0" formatCode="General">
                  <c:v>8.751353302057018E-6</c:v>
                </c:pt>
                <c:pt idx="1">
                  <c:v>3.3470782077603903E-6</c:v>
                </c:pt>
                <c:pt idx="3" formatCode="General">
                  <c:v>4.4097924669833833E-6</c:v>
                </c:pt>
              </c:numCache>
            </c:numRef>
          </c:xVal>
          <c:yVal>
            <c:numRef>
              <c:f>工作表3!$K$6:$K$9</c:f>
              <c:numCache>
                <c:formatCode>General</c:formatCode>
                <c:ptCount val="4"/>
                <c:pt idx="0">
                  <c:v>0.16153725318101997</c:v>
                </c:pt>
                <c:pt idx="1">
                  <c:v>7.3647372479475018E-2</c:v>
                </c:pt>
                <c:pt idx="3">
                  <c:v>8.4659872654802709E-2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7C-48E0-ABA8-1F4B66D611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9797551"/>
        <c:axId val="1189798031"/>
      </c:scatterChart>
      <c:valAx>
        <c:axId val="118979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9798031"/>
        <c:crosses val="autoZero"/>
        <c:crossBetween val="midCat"/>
      </c:valAx>
      <c:valAx>
        <c:axId val="1189798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89797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167640</xdr:colOff>
      <xdr:row>2</xdr:row>
      <xdr:rowOff>185420</xdr:rowOff>
    </xdr:from>
    <xdr:to>
      <xdr:col>22</xdr:col>
      <xdr:colOff>472440</xdr:colOff>
      <xdr:row>16</xdr:row>
      <xdr:rowOff>38100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AD8E2BB-A0C0-F5B2-C109-811CBC933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168275</xdr:colOff>
      <xdr:row>3</xdr:row>
      <xdr:rowOff>107950</xdr:rowOff>
    </xdr:from>
    <xdr:to>
      <xdr:col>19</xdr:col>
      <xdr:colOff>473075</xdr:colOff>
      <xdr:row>15</xdr:row>
      <xdr:rowOff>180975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D3B2625F-E52F-6275-A6C5-6FEDF3F89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98425</xdr:colOff>
      <xdr:row>10</xdr:row>
      <xdr:rowOff>104775</xdr:rowOff>
    </xdr:from>
    <xdr:to>
      <xdr:col>15</xdr:col>
      <xdr:colOff>231775</xdr:colOff>
      <xdr:row>23</xdr:row>
      <xdr:rowOff>41275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59AE0E14-A883-6214-8889-76DC68386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CF6F-6B95-454C-B432-CB8380330A02}">
  <dimension ref="B2:M20"/>
  <sheetViews>
    <sheetView workbookViewId="0">
      <selection activeCell="K6" sqref="K6"/>
    </sheetView>
  </sheetViews>
  <sheetFormatPr defaultRowHeight="17" x14ac:dyDescent="0.4"/>
  <cols>
    <col min="11" max="11" width="13" bestFit="1" customWidth="1"/>
  </cols>
  <sheetData>
    <row r="2" spans="2:13" x14ac:dyDescent="0.4">
      <c r="B2" t="s">
        <v>0</v>
      </c>
    </row>
    <row r="3" spans="2:13" x14ac:dyDescent="0.4">
      <c r="B3">
        <v>0.68</v>
      </c>
    </row>
    <row r="4" spans="2:13" x14ac:dyDescent="0.4">
      <c r="B4" s="12" t="s">
        <v>1</v>
      </c>
      <c r="C4" s="12" t="s">
        <v>2</v>
      </c>
      <c r="D4" s="12" t="s">
        <v>32</v>
      </c>
      <c r="E4" s="12" t="s">
        <v>3</v>
      </c>
      <c r="F4" s="12"/>
      <c r="G4" s="12"/>
      <c r="H4" s="12" t="s">
        <v>4</v>
      </c>
      <c r="I4" s="12" t="s">
        <v>5</v>
      </c>
      <c r="J4" s="14" t="s">
        <v>28</v>
      </c>
      <c r="K4" s="13" t="s">
        <v>29</v>
      </c>
      <c r="L4" s="13" t="s">
        <v>27</v>
      </c>
      <c r="M4" s="13" t="s">
        <v>25</v>
      </c>
    </row>
    <row r="5" spans="2:13" x14ac:dyDescent="0.4">
      <c r="B5" s="12"/>
      <c r="C5" s="12"/>
      <c r="D5" s="12"/>
      <c r="E5" s="1">
        <v>1</v>
      </c>
      <c r="F5" s="1">
        <v>2</v>
      </c>
      <c r="G5" s="1">
        <v>3</v>
      </c>
      <c r="H5" s="12"/>
      <c r="I5" s="12"/>
      <c r="J5" s="14"/>
      <c r="K5" s="13"/>
      <c r="L5" s="13"/>
      <c r="M5" s="13"/>
    </row>
    <row r="6" spans="2:13" x14ac:dyDescent="0.4">
      <c r="B6" s="2">
        <f>1/8</f>
        <v>0.125</v>
      </c>
      <c r="C6" s="3">
        <f>B6*PI()*2</f>
        <v>0.78539816339744828</v>
      </c>
      <c r="D6" s="4">
        <f>2*C6</f>
        <v>1.5707963267948966</v>
      </c>
      <c r="E6" s="5">
        <v>4.7699999999999987</v>
      </c>
      <c r="F6" s="5">
        <v>4.9899999999999984</v>
      </c>
      <c r="G6" s="5">
        <v>4.7699999999999987</v>
      </c>
      <c r="H6" s="4">
        <f>AVERAGE(E6:G6)</f>
        <v>4.8433333333333328</v>
      </c>
      <c r="I6" s="4">
        <f>H6^2</f>
        <v>23.457877777777774</v>
      </c>
      <c r="J6" s="7">
        <v>5.8200000000000002E-2</v>
      </c>
      <c r="K6">
        <f>10*978*B$3</f>
        <v>6650.4000000000005</v>
      </c>
      <c r="L6">
        <v>112500</v>
      </c>
      <c r="M6">
        <f>K6/J6-L6</f>
        <v>1768.0412371134153</v>
      </c>
    </row>
    <row r="7" spans="2:13" x14ac:dyDescent="0.4">
      <c r="B7" s="2">
        <f>1/4</f>
        <v>0.25</v>
      </c>
      <c r="C7" s="3">
        <f t="shared" ref="C7:C12" si="0">B7*PI()*2</f>
        <v>1.5707963267948966</v>
      </c>
      <c r="D7" s="4">
        <f t="shared" ref="D7:D12" si="1">2*C7</f>
        <v>3.1415926535897931</v>
      </c>
      <c r="E7" s="5">
        <v>7.2899999999999983</v>
      </c>
      <c r="F7" s="5">
        <v>7.1999999999999984</v>
      </c>
      <c r="G7" s="5">
        <v>7.3299999999999983</v>
      </c>
      <c r="H7" s="4">
        <f t="shared" ref="H7:H12" si="2">AVERAGE(E7:G7)</f>
        <v>7.2733333333333308</v>
      </c>
      <c r="I7" s="4">
        <f t="shared" ref="I7:I12" si="3">H7^2</f>
        <v>52.901377777777739</v>
      </c>
      <c r="K7">
        <f>10*(978-B$3*0.0582)*B$3</f>
        <v>6650.1308832000004</v>
      </c>
    </row>
    <row r="8" spans="2:13" x14ac:dyDescent="0.4">
      <c r="B8" s="2">
        <f>1/2</f>
        <v>0.5</v>
      </c>
      <c r="C8" s="3">
        <f t="shared" si="0"/>
        <v>3.1415926535897931</v>
      </c>
      <c r="D8" s="4">
        <f t="shared" si="1"/>
        <v>6.2831853071795862</v>
      </c>
      <c r="E8" s="5">
        <v>10.269999999999998</v>
      </c>
      <c r="F8" s="5">
        <v>10.169999999999998</v>
      </c>
      <c r="G8" s="5">
        <v>10.329999999999998</v>
      </c>
      <c r="H8" s="4">
        <f t="shared" si="2"/>
        <v>10.256666666666666</v>
      </c>
      <c r="I8" s="4">
        <f t="shared" si="3"/>
        <v>105.1992111111111</v>
      </c>
      <c r="K8" s="9">
        <f>ABS(K7-K6)/K6</f>
        <v>4.0466257668729671E-5</v>
      </c>
    </row>
    <row r="9" spans="2:13" x14ac:dyDescent="0.4">
      <c r="B9" s="2">
        <f>3/4</f>
        <v>0.75</v>
      </c>
      <c r="C9" s="3">
        <f t="shared" si="0"/>
        <v>4.7123889803846897</v>
      </c>
      <c r="D9" s="4">
        <f t="shared" si="1"/>
        <v>9.4247779607693793</v>
      </c>
      <c r="E9" s="5">
        <v>12.709999999999997</v>
      </c>
      <c r="F9" s="5">
        <v>12.909999999999998</v>
      </c>
      <c r="G9" s="5">
        <v>12.889999999999997</v>
      </c>
      <c r="H9" s="4">
        <f t="shared" si="2"/>
        <v>12.836666666666664</v>
      </c>
      <c r="I9" s="4">
        <f t="shared" si="3"/>
        <v>164.78001111111104</v>
      </c>
    </row>
    <row r="10" spans="2:13" x14ac:dyDescent="0.4">
      <c r="B10" s="2">
        <v>1</v>
      </c>
      <c r="C10" s="3">
        <f t="shared" si="0"/>
        <v>6.2831853071795862</v>
      </c>
      <c r="D10" s="4">
        <f t="shared" si="1"/>
        <v>12.566370614359172</v>
      </c>
      <c r="E10" s="5">
        <v>15.049999999999997</v>
      </c>
      <c r="F10" s="5">
        <v>14.669999999999998</v>
      </c>
      <c r="G10" s="5">
        <v>14.649999999999997</v>
      </c>
      <c r="H10" s="4">
        <f t="shared" si="2"/>
        <v>14.789999999999997</v>
      </c>
      <c r="I10" s="4">
        <f t="shared" si="3"/>
        <v>218.74409999999992</v>
      </c>
    </row>
    <row r="11" spans="2:13" x14ac:dyDescent="0.4">
      <c r="B11" s="2">
        <f>3/2</f>
        <v>1.5</v>
      </c>
      <c r="C11" s="3">
        <f t="shared" si="0"/>
        <v>9.4247779607693793</v>
      </c>
      <c r="D11" s="4">
        <f t="shared" si="1"/>
        <v>18.849555921538759</v>
      </c>
      <c r="E11" s="5">
        <v>18.309999999999999</v>
      </c>
      <c r="F11" s="5">
        <v>18.419999999999998</v>
      </c>
      <c r="G11" s="5">
        <v>18.32</v>
      </c>
      <c r="H11" s="4">
        <f t="shared" si="2"/>
        <v>18.349999999999998</v>
      </c>
      <c r="I11" s="4">
        <f t="shared" si="3"/>
        <v>336.72249999999991</v>
      </c>
    </row>
    <row r="12" spans="2:13" x14ac:dyDescent="0.4">
      <c r="B12" s="2">
        <v>2</v>
      </c>
      <c r="C12" s="3">
        <f t="shared" si="0"/>
        <v>12.566370614359172</v>
      </c>
      <c r="D12" s="4">
        <f t="shared" si="1"/>
        <v>25.132741228718345</v>
      </c>
      <c r="E12" s="5">
        <v>20.239999999999998</v>
      </c>
      <c r="F12" s="5">
        <v>20.7</v>
      </c>
      <c r="G12" s="5">
        <v>20.48</v>
      </c>
      <c r="H12" s="4">
        <f t="shared" si="2"/>
        <v>20.473333333333333</v>
      </c>
      <c r="I12" s="4">
        <f t="shared" si="3"/>
        <v>419.15737777777775</v>
      </c>
    </row>
    <row r="13" spans="2:13" x14ac:dyDescent="0.4">
      <c r="E13" s="8"/>
      <c r="F13" s="8"/>
      <c r="G13" s="8"/>
    </row>
    <row r="14" spans="2:13" x14ac:dyDescent="0.4">
      <c r="E14" s="8"/>
      <c r="F14" s="8"/>
      <c r="G14" s="8"/>
    </row>
    <row r="15" spans="2:13" x14ac:dyDescent="0.4">
      <c r="E15" s="8"/>
      <c r="F15" s="8"/>
      <c r="G15" s="8"/>
    </row>
    <row r="16" spans="2:13" x14ac:dyDescent="0.4">
      <c r="E16" s="8"/>
      <c r="F16" s="8"/>
      <c r="G16" s="8"/>
    </row>
    <row r="17" spans="5:7" x14ac:dyDescent="0.4">
      <c r="E17" s="8"/>
      <c r="F17" s="8"/>
      <c r="G17" s="8"/>
    </row>
    <row r="18" spans="5:7" x14ac:dyDescent="0.4">
      <c r="E18" s="8"/>
      <c r="F18" s="8"/>
      <c r="G18" s="8"/>
    </row>
    <row r="19" spans="5:7" x14ac:dyDescent="0.4">
      <c r="E19" s="8"/>
      <c r="F19" s="8"/>
      <c r="G19" s="8"/>
    </row>
    <row r="20" spans="5:7" x14ac:dyDescent="0.4">
      <c r="E20" s="8"/>
      <c r="F20" s="8"/>
      <c r="G20" s="8"/>
    </row>
  </sheetData>
  <mergeCells count="10">
    <mergeCell ref="K4:K5"/>
    <mergeCell ref="J4:J5"/>
    <mergeCell ref="L4:L5"/>
    <mergeCell ref="M4:M5"/>
    <mergeCell ref="D4:D5"/>
    <mergeCell ref="B4:B5"/>
    <mergeCell ref="C4:C5"/>
    <mergeCell ref="E4:G4"/>
    <mergeCell ref="I4:I5"/>
    <mergeCell ref="H4:H5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78CC3-B98F-4FEE-8099-4AAF20A3D38A}">
  <dimension ref="C4:L9"/>
  <sheetViews>
    <sheetView workbookViewId="0">
      <selection activeCell="K17" sqref="K17"/>
    </sheetView>
  </sheetViews>
  <sheetFormatPr defaultRowHeight="17" x14ac:dyDescent="0.4"/>
  <sheetData>
    <row r="4" spans="3:12" x14ac:dyDescent="0.4">
      <c r="C4" s="4" t="s">
        <v>1</v>
      </c>
      <c r="D4" s="4" t="s">
        <v>2</v>
      </c>
      <c r="E4" s="12">
        <v>10</v>
      </c>
      <c r="F4" s="12"/>
      <c r="G4" s="12">
        <v>20</v>
      </c>
      <c r="H4" s="12"/>
      <c r="I4" s="12">
        <v>30</v>
      </c>
      <c r="J4" s="12"/>
      <c r="K4" s="12">
        <v>40</v>
      </c>
      <c r="L4" s="12"/>
    </row>
    <row r="5" spans="3:12" x14ac:dyDescent="0.4">
      <c r="C5" s="12">
        <v>1</v>
      </c>
      <c r="D5" s="12" t="s">
        <v>8</v>
      </c>
      <c r="E5" s="4" t="s">
        <v>3</v>
      </c>
      <c r="F5" s="4" t="s">
        <v>6</v>
      </c>
      <c r="G5" s="4" t="s">
        <v>3</v>
      </c>
      <c r="H5" s="4" t="s">
        <v>6</v>
      </c>
      <c r="I5" s="4" t="s">
        <v>3</v>
      </c>
      <c r="J5" s="4" t="s">
        <v>6</v>
      </c>
      <c r="K5" s="4" t="s">
        <v>3</v>
      </c>
      <c r="L5" s="4" t="s">
        <v>6</v>
      </c>
    </row>
    <row r="6" spans="3:12" x14ac:dyDescent="0.4">
      <c r="C6" s="12"/>
      <c r="D6" s="12"/>
      <c r="E6" s="5">
        <v>14.94</v>
      </c>
      <c r="F6" s="15">
        <f>AVERAGE(E6:E8)</f>
        <v>14.68</v>
      </c>
      <c r="G6" s="4">
        <v>10.91</v>
      </c>
      <c r="H6" s="12">
        <f>AVERAGE(G6:G8)</f>
        <v>10.866666666666667</v>
      </c>
      <c r="I6" s="4">
        <v>8.68</v>
      </c>
      <c r="J6" s="12">
        <f>AVERAGE(I6:I8)</f>
        <v>8.8199999999999985</v>
      </c>
      <c r="K6" s="4">
        <v>7.66</v>
      </c>
      <c r="L6" s="12">
        <f>AVERAGE(K6:K8)</f>
        <v>7.6466666666666674</v>
      </c>
    </row>
    <row r="7" spans="3:12" x14ac:dyDescent="0.4">
      <c r="C7" s="12"/>
      <c r="D7" s="12"/>
      <c r="E7" s="5">
        <v>14.56</v>
      </c>
      <c r="F7" s="12"/>
      <c r="G7" s="4">
        <v>10.94</v>
      </c>
      <c r="H7" s="12"/>
      <c r="I7" s="4">
        <v>8.8699999999999992</v>
      </c>
      <c r="J7" s="12"/>
      <c r="K7" s="4">
        <v>7.5</v>
      </c>
      <c r="L7" s="12"/>
    </row>
    <row r="8" spans="3:12" x14ac:dyDescent="0.4">
      <c r="C8" s="12"/>
      <c r="D8" s="12"/>
      <c r="E8" s="5">
        <v>14.54</v>
      </c>
      <c r="F8" s="12"/>
      <c r="G8" s="4">
        <v>10.75</v>
      </c>
      <c r="H8" s="12"/>
      <c r="I8" s="4">
        <v>8.91</v>
      </c>
      <c r="J8" s="12"/>
      <c r="K8" s="4">
        <v>7.78</v>
      </c>
      <c r="L8" s="12"/>
    </row>
    <row r="9" spans="3:12" x14ac:dyDescent="0.4">
      <c r="C9" s="12" t="s">
        <v>7</v>
      </c>
      <c r="D9" s="12"/>
      <c r="E9" s="12">
        <f>PI()*4/(F6^2)</f>
        <v>5.8311975246489935E-2</v>
      </c>
      <c r="F9" s="12"/>
      <c r="G9" s="12">
        <f>PI()*4/(H6^2)</f>
        <v>0.10641850985098474</v>
      </c>
      <c r="H9" s="12"/>
      <c r="I9" s="12">
        <f>PI()*4/(J6^2)</f>
        <v>0.16153725318101997</v>
      </c>
      <c r="J9" s="12"/>
      <c r="K9" s="12">
        <f>PI()*4/(L6^2)</f>
        <v>0.21491441516672607</v>
      </c>
      <c r="L9" s="12"/>
    </row>
  </sheetData>
  <mergeCells count="15">
    <mergeCell ref="G4:H4"/>
    <mergeCell ref="E4:F4"/>
    <mergeCell ref="I4:J4"/>
    <mergeCell ref="K4:L4"/>
    <mergeCell ref="C5:C8"/>
    <mergeCell ref="D5:D8"/>
    <mergeCell ref="L6:L8"/>
    <mergeCell ref="K9:L9"/>
    <mergeCell ref="C9:D9"/>
    <mergeCell ref="E9:F9"/>
    <mergeCell ref="F6:F8"/>
    <mergeCell ref="H6:H8"/>
    <mergeCell ref="G9:H9"/>
    <mergeCell ref="J6:J8"/>
    <mergeCell ref="I9:J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0816C-F336-4A96-8A1B-41FBC2D0FF67}">
  <dimension ref="B2:M9"/>
  <sheetViews>
    <sheetView workbookViewId="0">
      <selection activeCell="K6" sqref="K6"/>
    </sheetView>
  </sheetViews>
  <sheetFormatPr defaultRowHeight="17" x14ac:dyDescent="0.4"/>
  <cols>
    <col min="4" max="4" width="12.1796875" customWidth="1"/>
    <col min="6" max="6" width="13" bestFit="1" customWidth="1"/>
    <col min="9" max="9" width="11.1796875" customWidth="1"/>
  </cols>
  <sheetData>
    <row r="2" spans="2:13" x14ac:dyDescent="0.4">
      <c r="B2" t="s">
        <v>0</v>
      </c>
      <c r="C2" t="s">
        <v>27</v>
      </c>
    </row>
    <row r="3" spans="2:13" x14ac:dyDescent="0.4">
      <c r="B3">
        <v>0.68</v>
      </c>
      <c r="C3">
        <v>1768.04123711342</v>
      </c>
    </row>
    <row r="4" spans="2:13" x14ac:dyDescent="0.4">
      <c r="B4" s="12" t="s">
        <v>9</v>
      </c>
      <c r="C4" s="12" t="s">
        <v>1</v>
      </c>
      <c r="D4" s="16" t="s">
        <v>27</v>
      </c>
      <c r="E4" s="12" t="s">
        <v>25</v>
      </c>
      <c r="F4" s="12" t="s">
        <v>33</v>
      </c>
      <c r="G4" s="12" t="s">
        <v>3</v>
      </c>
      <c r="H4" s="12"/>
      <c r="I4" s="12"/>
      <c r="J4" s="12" t="s">
        <v>11</v>
      </c>
      <c r="K4" s="16" t="s">
        <v>7</v>
      </c>
      <c r="L4" s="12" t="s">
        <v>30</v>
      </c>
      <c r="M4" s="12" t="s">
        <v>31</v>
      </c>
    </row>
    <row r="5" spans="2:13" x14ac:dyDescent="0.4">
      <c r="B5" s="12"/>
      <c r="C5" s="12"/>
      <c r="D5" s="16"/>
      <c r="E5" s="12"/>
      <c r="F5" s="12"/>
      <c r="G5" s="12"/>
      <c r="H5" s="12"/>
      <c r="I5" s="12"/>
      <c r="J5" s="12"/>
      <c r="K5" s="16"/>
      <c r="L5" s="12"/>
      <c r="M5" s="12"/>
    </row>
    <row r="6" spans="2:13" x14ac:dyDescent="0.4">
      <c r="B6" s="4" t="s">
        <v>12</v>
      </c>
      <c r="C6" s="12">
        <v>1</v>
      </c>
      <c r="D6" s="4">
        <f>0.5*1000*15*15</f>
        <v>112500</v>
      </c>
      <c r="E6" s="4">
        <f>D6+C$3</f>
        <v>114268.04123711342</v>
      </c>
      <c r="F6" s="4">
        <f>1/E6</f>
        <v>8.751353302057018E-6</v>
      </c>
      <c r="G6" s="4">
        <v>8.68</v>
      </c>
      <c r="H6" s="4">
        <v>8.8699999999999992</v>
      </c>
      <c r="I6" s="4">
        <v>8.91</v>
      </c>
      <c r="J6" s="4">
        <f>AVERAGE(G6:I6)</f>
        <v>8.8199999999999985</v>
      </c>
      <c r="K6" s="4">
        <f>4*PI()/J6^2</f>
        <v>0.16153725318101997</v>
      </c>
      <c r="L6" s="4">
        <f>30*978*B$3</f>
        <v>19951.2</v>
      </c>
      <c r="M6" s="4">
        <f>K6*E6</f>
        <v>18458.545507818821</v>
      </c>
    </row>
    <row r="7" spans="2:13" x14ac:dyDescent="0.4">
      <c r="B7" s="16" t="s">
        <v>13</v>
      </c>
      <c r="C7" s="12"/>
      <c r="D7" s="12">
        <f>D6+1000*(15^2+12^2)/2</f>
        <v>297000</v>
      </c>
      <c r="E7" s="17">
        <f>D7+C3</f>
        <v>298768.04123711342</v>
      </c>
      <c r="F7" s="19">
        <f>1/E7</f>
        <v>3.3470782077603903E-6</v>
      </c>
      <c r="G7" s="12">
        <v>13.88</v>
      </c>
      <c r="H7" s="12">
        <v>13.91</v>
      </c>
      <c r="I7" s="12">
        <v>13.88</v>
      </c>
      <c r="J7" s="12">
        <f>AVERAGE(G7:H9)</f>
        <v>13.0625</v>
      </c>
      <c r="K7" s="12">
        <f>4*PI()/J7^2</f>
        <v>7.3647372479475018E-2</v>
      </c>
      <c r="L7" s="17">
        <v>19951.2</v>
      </c>
      <c r="M7" s="17">
        <f>E7*K7</f>
        <v>22003.481217952845</v>
      </c>
    </row>
    <row r="8" spans="2:13" x14ac:dyDescent="0.4">
      <c r="B8" s="16"/>
      <c r="C8" s="12"/>
      <c r="D8" s="12"/>
      <c r="E8" s="18"/>
      <c r="F8" s="18"/>
      <c r="G8" s="12"/>
      <c r="H8" s="12"/>
      <c r="I8" s="12"/>
      <c r="J8" s="12"/>
      <c r="K8" s="12"/>
      <c r="L8" s="18"/>
      <c r="M8" s="18"/>
    </row>
    <row r="9" spans="2:13" x14ac:dyDescent="0.4">
      <c r="B9" s="4" t="s">
        <v>14</v>
      </c>
      <c r="C9" s="12"/>
      <c r="D9" s="4">
        <f>2*D6</f>
        <v>225000</v>
      </c>
      <c r="E9" s="4">
        <f>D9+C$3</f>
        <v>226768.04123711342</v>
      </c>
      <c r="F9" s="4">
        <f>1/E9</f>
        <v>4.4097924669833833E-6</v>
      </c>
      <c r="G9" s="4">
        <v>12.12</v>
      </c>
      <c r="H9" s="4">
        <v>12.34</v>
      </c>
      <c r="I9" s="4">
        <v>12.09</v>
      </c>
      <c r="J9" s="4">
        <f>AVERAGE(G9:I9)</f>
        <v>12.183333333333332</v>
      </c>
      <c r="K9" s="4">
        <f>4*PI()/J9^2</f>
        <v>8.4659872654802709E-2</v>
      </c>
      <c r="L9" s="4">
        <f>30*978*B$3</f>
        <v>19951.2</v>
      </c>
      <c r="M9" s="4">
        <f>K9*E9</f>
        <v>19198.153493313072</v>
      </c>
    </row>
  </sheetData>
  <mergeCells count="22">
    <mergeCell ref="K4:K5"/>
    <mergeCell ref="L4:L5"/>
    <mergeCell ref="M4:M5"/>
    <mergeCell ref="L7:L8"/>
    <mergeCell ref="M7:M8"/>
    <mergeCell ref="C4:C5"/>
    <mergeCell ref="B4:B5"/>
    <mergeCell ref="D4:D5"/>
    <mergeCell ref="G4:I5"/>
    <mergeCell ref="J4:J5"/>
    <mergeCell ref="E4:E5"/>
    <mergeCell ref="F4:F5"/>
    <mergeCell ref="J7:J8"/>
    <mergeCell ref="K7:K8"/>
    <mergeCell ref="B7:B8"/>
    <mergeCell ref="C6:C9"/>
    <mergeCell ref="D7:D8"/>
    <mergeCell ref="G7:G8"/>
    <mergeCell ref="H7:H8"/>
    <mergeCell ref="I7:I8"/>
    <mergeCell ref="E7:E8"/>
    <mergeCell ref="F7:F8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14B99-1D5B-4C2D-B581-B7B63DB4D916}">
  <dimension ref="B2:I20"/>
  <sheetViews>
    <sheetView tabSelected="1" workbookViewId="0">
      <selection activeCell="B4" sqref="B4:I9"/>
    </sheetView>
  </sheetViews>
  <sheetFormatPr defaultRowHeight="17" x14ac:dyDescent="0.4"/>
  <cols>
    <col min="2" max="2" width="25.6328125" customWidth="1"/>
  </cols>
  <sheetData>
    <row r="2" spans="2:9" x14ac:dyDescent="0.4">
      <c r="B2" t="s">
        <v>0</v>
      </c>
      <c r="C2" t="s">
        <v>34</v>
      </c>
    </row>
    <row r="3" spans="2:9" x14ac:dyDescent="0.4">
      <c r="B3">
        <v>0.68</v>
      </c>
      <c r="C3">
        <v>1768.04123711342</v>
      </c>
    </row>
    <row r="4" spans="2:9" x14ac:dyDescent="0.4">
      <c r="B4" s="12" t="s">
        <v>9</v>
      </c>
      <c r="C4" s="12" t="s">
        <v>1</v>
      </c>
      <c r="D4" s="16" t="s">
        <v>10</v>
      </c>
      <c r="E4" s="12" t="s">
        <v>3</v>
      </c>
      <c r="F4" s="12"/>
      <c r="G4" s="12"/>
      <c r="H4" s="12" t="s">
        <v>11</v>
      </c>
      <c r="I4" s="16" t="s">
        <v>7</v>
      </c>
    </row>
    <row r="5" spans="2:9" x14ac:dyDescent="0.4">
      <c r="B5" s="12"/>
      <c r="C5" s="12"/>
      <c r="D5" s="16"/>
      <c r="E5" s="12"/>
      <c r="F5" s="12"/>
      <c r="G5" s="12"/>
      <c r="H5" s="12"/>
      <c r="I5" s="16"/>
    </row>
    <row r="6" spans="2:9" x14ac:dyDescent="0.4">
      <c r="B6" s="16" t="s">
        <v>15</v>
      </c>
      <c r="C6" s="12">
        <v>1</v>
      </c>
      <c r="D6" s="12">
        <f>1000*0.5*15*15+2*(1000*(11/4)^2/2+1000*(15/2)^2)+C3</f>
        <v>234330.54123711342</v>
      </c>
      <c r="E6" s="12">
        <v>12.28</v>
      </c>
      <c r="F6" s="12">
        <v>12.5</v>
      </c>
      <c r="G6" s="12">
        <v>12.53</v>
      </c>
      <c r="H6" s="12">
        <f>AVERAGE(E6:F8)</f>
        <v>12.38</v>
      </c>
      <c r="I6" s="12">
        <f>4*PI()/H6^2</f>
        <v>8.199145146791538E-2</v>
      </c>
    </row>
    <row r="7" spans="2:9" x14ac:dyDescent="0.4">
      <c r="B7" s="16"/>
      <c r="C7" s="12"/>
      <c r="D7" s="12"/>
      <c r="E7" s="12"/>
      <c r="F7" s="12"/>
      <c r="G7" s="12"/>
      <c r="H7" s="12"/>
      <c r="I7" s="12"/>
    </row>
    <row r="8" spans="2:9" x14ac:dyDescent="0.4">
      <c r="B8" s="16" t="s">
        <v>16</v>
      </c>
      <c r="C8" s="12"/>
      <c r="D8" s="12">
        <f>1000*0.5*15*15+2*(250*(3/2)^2/2+250*15^2)+C3</f>
        <v>227330.54123711342</v>
      </c>
      <c r="E8" s="12">
        <v>12.39</v>
      </c>
      <c r="F8" s="12">
        <v>12.35</v>
      </c>
      <c r="G8" s="12">
        <v>12.47</v>
      </c>
      <c r="H8" s="12">
        <f>AVERAGE(E8:F10)</f>
        <v>12.370000000000001</v>
      </c>
      <c r="I8" s="12">
        <f>4*PI()/H8^2</f>
        <v>8.2124070049511985E-2</v>
      </c>
    </row>
    <row r="9" spans="2:9" x14ac:dyDescent="0.4">
      <c r="B9" s="16"/>
      <c r="C9" s="12"/>
      <c r="D9" s="12"/>
      <c r="E9" s="12"/>
      <c r="F9" s="12"/>
      <c r="G9" s="12"/>
      <c r="H9" s="12"/>
      <c r="I9" s="12"/>
    </row>
    <row r="11" spans="2:9" x14ac:dyDescent="0.4">
      <c r="B11" t="s">
        <v>17</v>
      </c>
    </row>
    <row r="12" spans="2:9" x14ac:dyDescent="0.4">
      <c r="B12">
        <f>30*0.68*978</f>
        <v>19951.2</v>
      </c>
    </row>
    <row r="14" spans="2:9" x14ac:dyDescent="0.4">
      <c r="B14" s="4" t="s">
        <v>18</v>
      </c>
      <c r="C14" s="4" t="s">
        <v>25</v>
      </c>
      <c r="D14" s="4" t="s">
        <v>28</v>
      </c>
      <c r="E14" s="4" t="s">
        <v>26</v>
      </c>
      <c r="F14" s="4" t="s">
        <v>24</v>
      </c>
    </row>
    <row r="15" spans="2:9" x14ac:dyDescent="0.4">
      <c r="B15" s="4" t="s">
        <v>19</v>
      </c>
      <c r="C15" s="4">
        <v>114268.04123711342</v>
      </c>
      <c r="D15" s="4">
        <v>0.16153725318101997</v>
      </c>
      <c r="E15" s="4">
        <f>C15*D15</f>
        <v>18458.545507818821</v>
      </c>
      <c r="F15" s="4">
        <f>B$12/E15</f>
        <v>1.0808652280619244</v>
      </c>
    </row>
    <row r="16" spans="2:9" x14ac:dyDescent="0.4">
      <c r="B16" s="4" t="s">
        <v>20</v>
      </c>
      <c r="C16" s="4">
        <v>298768.04123711342</v>
      </c>
      <c r="D16" s="4">
        <v>7.3647372479475018E-2</v>
      </c>
      <c r="E16" s="4">
        <f>C16*D16</f>
        <v>22003.481217952845</v>
      </c>
      <c r="F16" s="4">
        <f>B$12/E16</f>
        <v>0.90672924899363794</v>
      </c>
    </row>
    <row r="17" spans="2:6" x14ac:dyDescent="0.4">
      <c r="B17" s="4" t="s">
        <v>21</v>
      </c>
      <c r="C17" s="4">
        <v>226768.04123711342</v>
      </c>
      <c r="D17" s="4">
        <v>8.4659872654802709E-2</v>
      </c>
      <c r="E17" s="4">
        <f>D17*C17</f>
        <v>19198.153493313072</v>
      </c>
      <c r="F17" s="4">
        <f>B$12/E17</f>
        <v>1.0392249445734052</v>
      </c>
    </row>
    <row r="18" spans="2:6" x14ac:dyDescent="0.4">
      <c r="B18" s="4" t="s">
        <v>22</v>
      </c>
      <c r="C18" s="1">
        <f>D6</f>
        <v>234330.54123711342</v>
      </c>
      <c r="D18" s="4">
        <v>8.199145146791538E-2</v>
      </c>
      <c r="E18" s="4">
        <f>C18*D18</f>
        <v>19213.101199293127</v>
      </c>
      <c r="F18" s="4">
        <f>B$12/E18</f>
        <v>1.0384164322589438</v>
      </c>
    </row>
    <row r="19" spans="2:6" x14ac:dyDescent="0.4">
      <c r="B19" s="10" t="s">
        <v>23</v>
      </c>
      <c r="C19" s="1">
        <f>D8</f>
        <v>227330.54123711342</v>
      </c>
      <c r="D19" s="4">
        <v>8.2124070049511985E-2</v>
      </c>
      <c r="E19" s="4">
        <f>C19*D19</f>
        <v>18669.309292950176</v>
      </c>
      <c r="F19" s="4">
        <f>B$12/E19</f>
        <v>1.0686629958792255</v>
      </c>
    </row>
    <row r="20" spans="2:6" x14ac:dyDescent="0.4">
      <c r="B20" s="11"/>
      <c r="C20" s="6"/>
    </row>
  </sheetData>
  <mergeCells count="21">
    <mergeCell ref="I4:I5"/>
    <mergeCell ref="B4:B5"/>
    <mergeCell ref="C4:C5"/>
    <mergeCell ref="D4:D5"/>
    <mergeCell ref="E4:G5"/>
    <mergeCell ref="H4:H5"/>
    <mergeCell ref="B6:B7"/>
    <mergeCell ref="B8:B9"/>
    <mergeCell ref="C6:C9"/>
    <mergeCell ref="D6:D7"/>
    <mergeCell ref="D8:D9"/>
    <mergeCell ref="F6:F7"/>
    <mergeCell ref="G6:G7"/>
    <mergeCell ref="H6:H7"/>
    <mergeCell ref="I6:I7"/>
    <mergeCell ref="E8:E9"/>
    <mergeCell ref="F8:F9"/>
    <mergeCell ref="G8:G9"/>
    <mergeCell ref="H8:H9"/>
    <mergeCell ref="I8:I9"/>
    <mergeCell ref="E6:E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定力矩角加速度</vt:lpstr>
      <vt:lpstr>驗證角加速度與外加力矩成正比</vt:lpstr>
      <vt:lpstr>工作表3</vt:lpstr>
      <vt:lpstr>驗證平行軸定理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2025-11-02T17:36:03Z</dcterms:created>
  <dcterms:modified xsi:type="dcterms:W3CDTF">2025-11-05T13:26:14Z</dcterms:modified>
</cp:coreProperties>
</file>