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up\普物實驗\Lab8 角速度、外加力矩及轉動慣量關係\"/>
    </mc:Choice>
  </mc:AlternateContent>
  <xr:revisionPtr revIDLastSave="0" documentId="8_{CDE20F71-DB25-415D-8488-6EA90E1E34F0}" xr6:coauthVersionLast="47" xr6:coauthVersionMax="47" xr10:uidLastSave="{00000000-0000-0000-0000-000000000000}"/>
  <bookViews>
    <workbookView xWindow="-110" yWindow="-110" windowWidth="25820" windowHeight="13900" activeTab="3" xr2:uid="{F8697BF3-F2B8-4E38-A2DC-9272F9073013}"/>
  </bookViews>
  <sheets>
    <sheet name="定力矩角加速度" sheetId="1" r:id="rId1"/>
    <sheet name="驗證角加速度與外加力矩成正比" sheetId="2" r:id="rId2"/>
    <sheet name="工作表3" sheetId="3" r:id="rId3"/>
    <sheet name="驗證平行軸定理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12" i="1"/>
  <c r="C6" i="1"/>
  <c r="B11" i="1"/>
  <c r="B9" i="1"/>
  <c r="B8" i="1"/>
  <c r="B7" i="1"/>
  <c r="B6" i="1"/>
</calcChain>
</file>

<file path=xl/sharedStrings.xml><?xml version="1.0" encoding="utf-8"?>
<sst xmlns="http://schemas.openxmlformats.org/spreadsheetml/2006/main" count="51" uniqueCount="31">
  <si>
    <t>r</t>
    <phoneticPr fontId="1" type="noConversion"/>
  </si>
  <si>
    <t>圈數</t>
    <phoneticPr fontId="1" type="noConversion"/>
  </si>
  <si>
    <t>角位移</t>
    <phoneticPr fontId="1" type="noConversion"/>
  </si>
  <si>
    <t>時間</t>
    <phoneticPr fontId="1" type="noConversion"/>
  </si>
  <si>
    <t>平均值</t>
    <phoneticPr fontId="1" type="noConversion"/>
  </si>
  <si>
    <t>t^2</t>
    <phoneticPr fontId="1" type="noConversion"/>
  </si>
  <si>
    <t>力矩10</t>
    <phoneticPr fontId="1" type="noConversion"/>
  </si>
  <si>
    <t>力矩20</t>
    <phoneticPr fontId="1" type="noConversion"/>
  </si>
  <si>
    <t>力矩30</t>
  </si>
  <si>
    <t>力矩40</t>
  </si>
  <si>
    <t>平均</t>
    <phoneticPr fontId="1" type="noConversion"/>
  </si>
  <si>
    <t>角加速度2\theta/(t^2)</t>
    <phoneticPr fontId="1" type="noConversion"/>
  </si>
  <si>
    <t>2\pi</t>
    <phoneticPr fontId="1" type="noConversion"/>
  </si>
  <si>
    <t>轉動體</t>
    <phoneticPr fontId="1" type="noConversion"/>
  </si>
  <si>
    <t>轉動慣量g\dot cm^2</t>
    <phoneticPr fontId="1" type="noConversion"/>
  </si>
  <si>
    <t>平均時間</t>
    <phoneticPr fontId="1" type="noConversion"/>
  </si>
  <si>
    <t>圓盤</t>
    <phoneticPr fontId="1" type="noConversion"/>
  </si>
  <si>
    <t>圓盤+圓環</t>
    <phoneticPr fontId="1" type="noConversion"/>
  </si>
  <si>
    <t>兩個圓盤</t>
    <phoneticPr fontId="1" type="noConversion"/>
  </si>
  <si>
    <t>圓盤+兩個1kg圓柱(d/2)</t>
    <phoneticPr fontId="1" type="noConversion"/>
  </si>
  <si>
    <t>圓盤+兩個1/4kg圓柱(d)</t>
    <phoneticPr fontId="1" type="noConversion"/>
  </si>
  <si>
    <t>\tau</t>
    <phoneticPr fontId="1" type="noConversion"/>
  </si>
  <si>
    <t xml:space="preserve">轉動體 </t>
  </si>
  <si>
    <t xml:space="preserve">圓盤 </t>
  </si>
  <si>
    <t xml:space="preserve">圓盤 + 圓環 </t>
  </si>
  <si>
    <t xml:space="preserve">兩個圓盤 </t>
  </si>
  <si>
    <t xml:space="preserve">圓盤 + 兩個1 kg圓柱(d/2) </t>
  </si>
  <si>
    <t xml:space="preserve">圓盤 + 兩個1/4kg圓柱(d) </t>
  </si>
  <si>
    <t>\frac{\tau}{I'\alpha}</t>
    <phoneticPr fontId="1" type="noConversion"/>
  </si>
  <si>
    <t>I'</t>
    <phoneticPr fontId="1" type="noConversion"/>
  </si>
  <si>
    <t>I'\alpha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</si>
</sst>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_);[Red]\(0.00\)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2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FCF6F-6B95-454C-B432-CB8380330A02}">
  <dimension ref="B2:H12"/>
  <sheetViews>
    <sheetView workbookViewId="0">
      <selection activeCell="B4" sqref="B4:C5"/>
    </sheetView>
  </sheetViews>
  <sheetFormatPr defaultRowHeight="17" x14ac:dyDescent="0.4"/>
  <sheetData>
    <row r="2" spans="2:8" x14ac:dyDescent="0.4">
      <c r="B2" t="s">
        <v>0</v>
      </c>
    </row>
    <row r="4" spans="2:8" x14ac:dyDescent="0.4">
      <c r="B4" s="2" t="s">
        <v>1</v>
      </c>
      <c r="C4" s="2" t="s">
        <v>2</v>
      </c>
      <c r="D4" s="2" t="s">
        <v>3</v>
      </c>
      <c r="E4" s="2"/>
      <c r="F4" s="2"/>
      <c r="G4" s="2" t="s">
        <v>4</v>
      </c>
      <c r="H4" s="2" t="s">
        <v>5</v>
      </c>
    </row>
    <row r="5" spans="2:8" x14ac:dyDescent="0.4">
      <c r="B5" s="2"/>
      <c r="C5" s="2"/>
      <c r="D5" s="3">
        <v>1</v>
      </c>
      <c r="E5" s="3">
        <v>2</v>
      </c>
      <c r="F5" s="3">
        <v>3</v>
      </c>
      <c r="G5" s="2"/>
      <c r="H5" s="2"/>
    </row>
    <row r="6" spans="2:8" x14ac:dyDescent="0.4">
      <c r="B6" s="4">
        <f>1/8</f>
        <v>0.125</v>
      </c>
      <c r="C6" s="5">
        <f>B6*PI()*2</f>
        <v>0.78539816339744828</v>
      </c>
      <c r="D6" s="6"/>
      <c r="E6" s="6"/>
      <c r="F6" s="6"/>
      <c r="G6" s="6"/>
      <c r="H6" s="6"/>
    </row>
    <row r="7" spans="2:8" x14ac:dyDescent="0.4">
      <c r="B7" s="4">
        <f>1/4</f>
        <v>0.25</v>
      </c>
      <c r="C7" s="5">
        <f t="shared" ref="C7:C12" si="0">B7*PI()*2</f>
        <v>1.5707963267948966</v>
      </c>
      <c r="D7" s="6"/>
      <c r="E7" s="6"/>
      <c r="F7" s="6"/>
      <c r="G7" s="6"/>
      <c r="H7" s="6"/>
    </row>
    <row r="8" spans="2:8" x14ac:dyDescent="0.4">
      <c r="B8" s="4">
        <f>1/2</f>
        <v>0.5</v>
      </c>
      <c r="C8" s="5">
        <f t="shared" si="0"/>
        <v>3.1415926535897931</v>
      </c>
      <c r="D8" s="6"/>
      <c r="E8" s="6"/>
      <c r="F8" s="6"/>
      <c r="G8" s="6"/>
      <c r="H8" s="6"/>
    </row>
    <row r="9" spans="2:8" x14ac:dyDescent="0.4">
      <c r="B9" s="4">
        <f>3/4</f>
        <v>0.75</v>
      </c>
      <c r="C9" s="5">
        <f t="shared" si="0"/>
        <v>4.7123889803846897</v>
      </c>
      <c r="D9" s="6"/>
      <c r="E9" s="6"/>
      <c r="F9" s="6"/>
      <c r="G9" s="6"/>
      <c r="H9" s="6"/>
    </row>
    <row r="10" spans="2:8" x14ac:dyDescent="0.4">
      <c r="B10" s="4">
        <v>1</v>
      </c>
      <c r="C10" s="5">
        <f t="shared" si="0"/>
        <v>6.2831853071795862</v>
      </c>
      <c r="D10" s="6"/>
      <c r="E10" s="6"/>
      <c r="F10" s="6"/>
      <c r="G10" s="6"/>
      <c r="H10" s="6"/>
    </row>
    <row r="11" spans="2:8" x14ac:dyDescent="0.4">
      <c r="B11" s="4">
        <f>3/2</f>
        <v>1.5</v>
      </c>
      <c r="C11" s="5">
        <f t="shared" si="0"/>
        <v>9.4247779607693793</v>
      </c>
      <c r="D11" s="6"/>
      <c r="E11" s="6"/>
      <c r="F11" s="6"/>
      <c r="G11" s="6"/>
      <c r="H11" s="6"/>
    </row>
    <row r="12" spans="2:8" x14ac:dyDescent="0.4">
      <c r="B12" s="4">
        <v>2</v>
      </c>
      <c r="C12" s="5">
        <f t="shared" si="0"/>
        <v>12.566370614359172</v>
      </c>
      <c r="D12" s="6"/>
      <c r="E12" s="6"/>
      <c r="F12" s="6"/>
      <c r="G12" s="6"/>
      <c r="H12" s="6"/>
    </row>
  </sheetData>
  <mergeCells count="5">
    <mergeCell ref="B4:B5"/>
    <mergeCell ref="C4:C5"/>
    <mergeCell ref="D4:F4"/>
    <mergeCell ref="H4:H5"/>
    <mergeCell ref="G4:G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78CC3-B98F-4FEE-8099-4AAF20A3D38A}">
  <dimension ref="C4:L9"/>
  <sheetViews>
    <sheetView workbookViewId="0">
      <selection activeCell="C9" sqref="C9:D9"/>
    </sheetView>
  </sheetViews>
  <sheetFormatPr defaultRowHeight="17" x14ac:dyDescent="0.4"/>
  <sheetData>
    <row r="4" spans="3:12" x14ac:dyDescent="0.4">
      <c r="C4" s="6" t="s">
        <v>1</v>
      </c>
      <c r="D4" s="6" t="s">
        <v>2</v>
      </c>
      <c r="E4" s="2" t="s">
        <v>6</v>
      </c>
      <c r="F4" s="2"/>
      <c r="G4" s="2" t="s">
        <v>7</v>
      </c>
      <c r="H4" s="2"/>
      <c r="I4" s="2" t="s">
        <v>8</v>
      </c>
      <c r="J4" s="2"/>
      <c r="K4" s="2" t="s">
        <v>9</v>
      </c>
      <c r="L4" s="2"/>
    </row>
    <row r="5" spans="3:12" x14ac:dyDescent="0.4">
      <c r="C5" s="2">
        <v>1</v>
      </c>
      <c r="D5" s="2" t="s">
        <v>12</v>
      </c>
      <c r="E5" s="6" t="s">
        <v>3</v>
      </c>
      <c r="F5" s="6" t="s">
        <v>10</v>
      </c>
      <c r="G5" s="6" t="s">
        <v>3</v>
      </c>
      <c r="H5" s="6" t="s">
        <v>10</v>
      </c>
      <c r="I5" s="6" t="s">
        <v>3</v>
      </c>
      <c r="J5" s="6" t="s">
        <v>10</v>
      </c>
      <c r="K5" s="6" t="s">
        <v>3</v>
      </c>
      <c r="L5" s="6" t="s">
        <v>10</v>
      </c>
    </row>
    <row r="6" spans="3:12" x14ac:dyDescent="0.4">
      <c r="C6" s="2"/>
      <c r="D6" s="2"/>
      <c r="E6" s="6"/>
      <c r="F6" s="2"/>
      <c r="G6" s="6"/>
      <c r="H6" s="2"/>
      <c r="I6" s="6"/>
      <c r="J6" s="2"/>
      <c r="K6" s="6"/>
      <c r="L6" s="2"/>
    </row>
    <row r="7" spans="3:12" x14ac:dyDescent="0.4">
      <c r="C7" s="2"/>
      <c r="D7" s="2"/>
      <c r="E7" s="6"/>
      <c r="F7" s="2"/>
      <c r="G7" s="6"/>
      <c r="H7" s="2"/>
      <c r="I7" s="6"/>
      <c r="J7" s="2"/>
      <c r="K7" s="6"/>
      <c r="L7" s="2"/>
    </row>
    <row r="8" spans="3:12" x14ac:dyDescent="0.4">
      <c r="C8" s="2"/>
      <c r="D8" s="2"/>
      <c r="E8" s="6"/>
      <c r="F8" s="2"/>
      <c r="G8" s="6"/>
      <c r="H8" s="2"/>
      <c r="I8" s="6"/>
      <c r="J8" s="2"/>
      <c r="K8" s="6"/>
      <c r="L8" s="2"/>
    </row>
    <row r="9" spans="3:12" x14ac:dyDescent="0.4">
      <c r="C9" s="2" t="s">
        <v>11</v>
      </c>
      <c r="D9" s="2"/>
      <c r="E9" s="2"/>
      <c r="F9" s="2"/>
      <c r="G9" s="2"/>
      <c r="H9" s="2"/>
      <c r="I9" s="2"/>
      <c r="J9" s="2"/>
      <c r="K9" s="2"/>
      <c r="L9" s="2"/>
    </row>
  </sheetData>
  <mergeCells count="15">
    <mergeCell ref="K9:L9"/>
    <mergeCell ref="C9:D9"/>
    <mergeCell ref="E9:F9"/>
    <mergeCell ref="F6:F8"/>
    <mergeCell ref="H6:H8"/>
    <mergeCell ref="G9:H9"/>
    <mergeCell ref="J6:J8"/>
    <mergeCell ref="I9:J9"/>
    <mergeCell ref="G4:H4"/>
    <mergeCell ref="E4:F4"/>
    <mergeCell ref="I4:J4"/>
    <mergeCell ref="K4:L4"/>
    <mergeCell ref="C5:C8"/>
    <mergeCell ref="D5:D8"/>
    <mergeCell ref="L6:L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16C-F336-4A96-8A1B-41FBC2D0FF67}">
  <dimension ref="B2:I9"/>
  <sheetViews>
    <sheetView workbookViewId="0">
      <selection activeCell="B4" sqref="B4:I5"/>
    </sheetView>
  </sheetViews>
  <sheetFormatPr defaultRowHeight="17" x14ac:dyDescent="0.4"/>
  <cols>
    <col min="4" max="4" width="12.26953125" customWidth="1"/>
    <col min="9" max="9" width="11.26953125" customWidth="1"/>
  </cols>
  <sheetData>
    <row r="2" spans="2:9" x14ac:dyDescent="0.4">
      <c r="B2" t="s">
        <v>0</v>
      </c>
    </row>
    <row r="4" spans="2:9" x14ac:dyDescent="0.4">
      <c r="B4" s="2" t="s">
        <v>13</v>
      </c>
      <c r="C4" s="2" t="s">
        <v>1</v>
      </c>
      <c r="D4" s="8" t="s">
        <v>14</v>
      </c>
      <c r="E4" s="2" t="s">
        <v>3</v>
      </c>
      <c r="F4" s="2"/>
      <c r="G4" s="2"/>
      <c r="H4" s="2" t="s">
        <v>15</v>
      </c>
      <c r="I4" s="8" t="s">
        <v>11</v>
      </c>
    </row>
    <row r="5" spans="2:9" x14ac:dyDescent="0.4">
      <c r="B5" s="2"/>
      <c r="C5" s="2"/>
      <c r="D5" s="8"/>
      <c r="E5" s="2"/>
      <c r="F5" s="2"/>
      <c r="G5" s="2"/>
      <c r="H5" s="2"/>
      <c r="I5" s="8"/>
    </row>
    <row r="6" spans="2:9" x14ac:dyDescent="0.4">
      <c r="B6" s="6" t="s">
        <v>16</v>
      </c>
      <c r="C6" s="2">
        <v>1</v>
      </c>
      <c r="D6" s="6"/>
      <c r="E6" s="6"/>
      <c r="F6" s="6"/>
      <c r="G6" s="6"/>
      <c r="H6" s="6"/>
      <c r="I6" s="6"/>
    </row>
    <row r="7" spans="2:9" x14ac:dyDescent="0.4">
      <c r="B7" s="8" t="s">
        <v>17</v>
      </c>
      <c r="C7" s="2"/>
      <c r="D7" s="2"/>
      <c r="E7" s="2"/>
      <c r="F7" s="2"/>
      <c r="G7" s="2"/>
      <c r="H7" s="2"/>
      <c r="I7" s="2"/>
    </row>
    <row r="8" spans="2:9" x14ac:dyDescent="0.4">
      <c r="B8" s="8"/>
      <c r="C8" s="2"/>
      <c r="D8" s="2"/>
      <c r="E8" s="2"/>
      <c r="F8" s="2"/>
      <c r="G8" s="2"/>
      <c r="H8" s="2"/>
      <c r="I8" s="2"/>
    </row>
    <row r="9" spans="2:9" x14ac:dyDescent="0.4">
      <c r="B9" s="6" t="s">
        <v>18</v>
      </c>
      <c r="C9" s="2"/>
      <c r="D9" s="6"/>
      <c r="E9" s="6"/>
      <c r="F9" s="6"/>
      <c r="G9" s="6"/>
      <c r="H9" s="6"/>
      <c r="I9" s="6"/>
    </row>
  </sheetData>
  <mergeCells count="14">
    <mergeCell ref="H7:H8"/>
    <mergeCell ref="I7:I8"/>
    <mergeCell ref="B7:B8"/>
    <mergeCell ref="C6:C9"/>
    <mergeCell ref="D7:D8"/>
    <mergeCell ref="E7:E8"/>
    <mergeCell ref="F7:F8"/>
    <mergeCell ref="G7:G8"/>
    <mergeCell ref="C4:C5"/>
    <mergeCell ref="B4:B5"/>
    <mergeCell ref="D4:D5"/>
    <mergeCell ref="E4:G5"/>
    <mergeCell ref="H4:H5"/>
    <mergeCell ref="I4:I5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14B99-1D5B-4C2D-B581-B7B63DB4D916}">
  <dimension ref="B2:I20"/>
  <sheetViews>
    <sheetView tabSelected="1" workbookViewId="0">
      <selection activeCell="B14" sqref="B14:F20"/>
    </sheetView>
  </sheetViews>
  <sheetFormatPr defaultRowHeight="17" x14ac:dyDescent="0.4"/>
  <cols>
    <col min="2" max="2" width="24" customWidth="1"/>
  </cols>
  <sheetData>
    <row r="2" spans="2:9" x14ac:dyDescent="0.4">
      <c r="B2" t="s">
        <v>0</v>
      </c>
    </row>
    <row r="4" spans="2:9" x14ac:dyDescent="0.4">
      <c r="B4" s="2" t="s">
        <v>13</v>
      </c>
      <c r="C4" s="2" t="s">
        <v>1</v>
      </c>
      <c r="D4" s="8" t="s">
        <v>14</v>
      </c>
      <c r="E4" s="2" t="s">
        <v>3</v>
      </c>
      <c r="F4" s="2"/>
      <c r="G4" s="2"/>
      <c r="H4" s="2" t="s">
        <v>15</v>
      </c>
      <c r="I4" s="8" t="s">
        <v>11</v>
      </c>
    </row>
    <row r="5" spans="2:9" x14ac:dyDescent="0.4">
      <c r="B5" s="2"/>
      <c r="C5" s="2"/>
      <c r="D5" s="8"/>
      <c r="E5" s="2"/>
      <c r="F5" s="2"/>
      <c r="G5" s="2"/>
      <c r="H5" s="2"/>
      <c r="I5" s="8"/>
    </row>
    <row r="6" spans="2:9" x14ac:dyDescent="0.4">
      <c r="B6" s="10" t="s">
        <v>19</v>
      </c>
      <c r="C6" s="9">
        <v>1</v>
      </c>
      <c r="D6" s="9"/>
      <c r="E6" s="9"/>
      <c r="F6" s="9"/>
      <c r="G6" s="9"/>
      <c r="H6" s="9"/>
      <c r="I6" s="9"/>
    </row>
    <row r="7" spans="2:9" x14ac:dyDescent="0.4">
      <c r="B7" s="7"/>
      <c r="C7" s="1"/>
      <c r="D7" s="1"/>
      <c r="E7" s="1"/>
      <c r="F7" s="1"/>
      <c r="G7" s="1"/>
      <c r="H7" s="1"/>
      <c r="I7" s="1"/>
    </row>
    <row r="8" spans="2:9" x14ac:dyDescent="0.4">
      <c r="B8" s="7" t="s">
        <v>20</v>
      </c>
      <c r="C8" s="1"/>
      <c r="D8" s="1"/>
      <c r="E8" s="1"/>
      <c r="F8" s="1"/>
      <c r="G8" s="1"/>
      <c r="H8" s="1"/>
      <c r="I8" s="1"/>
    </row>
    <row r="9" spans="2:9" x14ac:dyDescent="0.4">
      <c r="B9" s="7"/>
      <c r="C9" s="1"/>
      <c r="D9" s="1"/>
      <c r="E9" s="1"/>
      <c r="F9" s="1"/>
      <c r="G9" s="1"/>
      <c r="H9" s="1"/>
      <c r="I9" s="1"/>
    </row>
    <row r="11" spans="2:9" x14ac:dyDescent="0.4">
      <c r="B11" t="s">
        <v>21</v>
      </c>
    </row>
    <row r="14" spans="2:9" x14ac:dyDescent="0.4">
      <c r="B14" s="6" t="s">
        <v>22</v>
      </c>
      <c r="C14" s="6" t="s">
        <v>29</v>
      </c>
      <c r="D14" s="6" t="s">
        <v>30</v>
      </c>
      <c r="E14" s="6" t="s">
        <v>28</v>
      </c>
      <c r="F14" s="6"/>
    </row>
    <row r="15" spans="2:9" x14ac:dyDescent="0.4">
      <c r="B15" s="6" t="s">
        <v>23</v>
      </c>
      <c r="C15" s="6"/>
      <c r="D15" s="6"/>
      <c r="E15" s="6"/>
      <c r="F15" s="6"/>
    </row>
    <row r="16" spans="2:9" x14ac:dyDescent="0.4">
      <c r="B16" s="6" t="s">
        <v>24</v>
      </c>
      <c r="C16" s="6"/>
      <c r="D16" s="6"/>
      <c r="E16" s="6"/>
      <c r="F16" s="6"/>
    </row>
    <row r="17" spans="2:6" x14ac:dyDescent="0.4">
      <c r="B17" s="6" t="s">
        <v>25</v>
      </c>
      <c r="C17" s="6"/>
      <c r="D17" s="6"/>
      <c r="E17" s="6"/>
      <c r="F17" s="6"/>
    </row>
    <row r="18" spans="2:6" x14ac:dyDescent="0.4">
      <c r="B18" s="6" t="s">
        <v>26</v>
      </c>
      <c r="C18" s="6"/>
      <c r="D18" s="6"/>
      <c r="E18" s="6"/>
      <c r="F18" s="6"/>
    </row>
    <row r="19" spans="2:6" x14ac:dyDescent="0.4">
      <c r="B19" s="6" t="s">
        <v>27</v>
      </c>
      <c r="C19" s="6"/>
      <c r="D19" s="6"/>
      <c r="E19" s="6"/>
      <c r="F19" s="6"/>
    </row>
    <row r="20" spans="2:6" x14ac:dyDescent="0.4">
      <c r="B20" s="6"/>
      <c r="C20" s="6"/>
      <c r="D20" s="6"/>
      <c r="E20" s="6"/>
      <c r="F20" s="6"/>
    </row>
  </sheetData>
  <mergeCells count="21">
    <mergeCell ref="F6:F7"/>
    <mergeCell ref="G6:G7"/>
    <mergeCell ref="H6:H7"/>
    <mergeCell ref="I6:I7"/>
    <mergeCell ref="E8:E9"/>
    <mergeCell ref="F8:F9"/>
    <mergeCell ref="G8:G9"/>
    <mergeCell ref="H8:H9"/>
    <mergeCell ref="I8:I9"/>
    <mergeCell ref="B6:B7"/>
    <mergeCell ref="B8:B9"/>
    <mergeCell ref="C6:C9"/>
    <mergeCell ref="D6:D7"/>
    <mergeCell ref="D8:D9"/>
    <mergeCell ref="E6:E7"/>
    <mergeCell ref="B4:B5"/>
    <mergeCell ref="C4:C5"/>
    <mergeCell ref="D4:D5"/>
    <mergeCell ref="E4:G5"/>
    <mergeCell ref="H4:H5"/>
    <mergeCell ref="I4:I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定力矩角加速度</vt:lpstr>
      <vt:lpstr>驗證角加速度與外加力矩成正比</vt:lpstr>
      <vt:lpstr>工作表3</vt:lpstr>
      <vt:lpstr>驗證平行軸定理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2025-11-02T17:36:03Z</dcterms:created>
  <dcterms:modified xsi:type="dcterms:W3CDTF">2025-11-02T17:56:51Z</dcterms:modified>
</cp:coreProperties>
</file>