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F Ph ex\w9角加速度、外加力矩及轉動慣量之關係\"/>
    </mc:Choice>
  </mc:AlternateContent>
  <xr:revisionPtr revIDLastSave="0" documentId="13_ncr:1_{A42DC149-BC15-41BE-9CE6-87B091FD4928}" xr6:coauthVersionLast="47" xr6:coauthVersionMax="47" xr10:uidLastSave="{00000000-0000-0000-0000-000000000000}"/>
  <bookViews>
    <workbookView xWindow="-110" yWindow="-110" windowWidth="19420" windowHeight="11500" firstSheet="1" activeTab="3" xr2:uid="{58657606-7A8A-48F7-8898-F1E04387D41B}"/>
  </bookViews>
  <sheets>
    <sheet name="在定力矩下測量角加速度" sheetId="1" r:id="rId1"/>
    <sheet name="驗證角加速度與外加力矩成正比" sheetId="2" r:id="rId2"/>
    <sheet name="分析角加速度與轉動體質量之關係" sheetId="3" r:id="rId3"/>
    <sheet name="驗證平行軸定理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4" l="1"/>
  <c r="C2" i="4"/>
  <c r="D5" i="3"/>
  <c r="D4" i="3"/>
  <c r="D3" i="3"/>
  <c r="J3" i="3"/>
  <c r="C10" i="4"/>
  <c r="B10" i="4"/>
  <c r="D13" i="4"/>
  <c r="D14" i="4"/>
  <c r="D10" i="4"/>
  <c r="C14" i="4"/>
  <c r="C13" i="4"/>
  <c r="B14" i="4"/>
  <c r="B13" i="4"/>
  <c r="I13" i="4"/>
  <c r="C9" i="3"/>
  <c r="K11" i="1"/>
  <c r="K10" i="1"/>
  <c r="K9" i="1"/>
  <c r="K8" i="1"/>
  <c r="H3" i="2"/>
  <c r="G6" i="2"/>
  <c r="J3" i="2"/>
  <c r="I6" i="2" s="1"/>
  <c r="F3" i="2"/>
  <c r="E6" i="2" s="1"/>
  <c r="D3" i="2"/>
  <c r="C6" i="2" s="1"/>
  <c r="G3" i="4"/>
  <c r="H3" i="4" s="1"/>
  <c r="G2" i="4"/>
  <c r="H2" i="4" s="1"/>
  <c r="H4" i="3"/>
  <c r="I4" i="3" s="1"/>
  <c r="H5" i="3"/>
  <c r="I5" i="3" s="1"/>
  <c r="H3" i="3"/>
  <c r="I3" i="3" s="1"/>
  <c r="G4" i="1"/>
  <c r="H4" i="1" s="1"/>
  <c r="G5" i="1"/>
  <c r="H5" i="1" s="1"/>
  <c r="G6" i="1"/>
  <c r="H6" i="1" s="1"/>
  <c r="G7" i="1"/>
  <c r="H7" i="1" s="1"/>
  <c r="G8" i="1"/>
  <c r="H8" i="1" s="1"/>
  <c r="G9" i="1"/>
  <c r="H9" i="1" s="1"/>
  <c r="G3" i="1"/>
  <c r="H3" i="1" s="1"/>
  <c r="C4" i="1"/>
  <c r="C5" i="1"/>
  <c r="C6" i="1"/>
  <c r="C7" i="1"/>
  <c r="C8" i="1"/>
  <c r="C9" i="1"/>
  <c r="C3" i="1"/>
  <c r="J4" i="3" l="1"/>
  <c r="B12" i="4"/>
  <c r="C12" i="4" s="1"/>
  <c r="D12" i="4" s="1"/>
  <c r="J5" i="3" l="1"/>
  <c r="B11" i="4"/>
  <c r="C11" i="4" s="1"/>
  <c r="D11" i="4" s="1"/>
</calcChain>
</file>

<file path=xl/sharedStrings.xml><?xml version="1.0" encoding="utf-8"?>
<sst xmlns="http://schemas.openxmlformats.org/spreadsheetml/2006/main" count="92" uniqueCount="58">
  <si>
    <t>圈數</t>
    <phoneticPr fontId="1" type="noConversion"/>
  </si>
  <si>
    <t>平均值&lt;t&gt;</t>
    <phoneticPr fontId="1" type="noConversion"/>
  </si>
  <si>
    <t>t^2</t>
    <phoneticPr fontId="1" type="noConversion"/>
  </si>
  <si>
    <t>時間(s)</t>
    <phoneticPr fontId="1" type="noConversion"/>
  </si>
  <si>
    <r>
      <t>I 支架(</t>
    </r>
    <r>
      <rPr>
        <sz val="12"/>
        <color theme="1"/>
        <rFont val="Calibri"/>
        <family val="3"/>
        <charset val="161"/>
      </rPr>
      <t>α</t>
    </r>
    <r>
      <rPr>
        <sz val="10.199999999999999"/>
        <color theme="1"/>
        <rFont val="新細明體"/>
        <family val="1"/>
        <charset val="136"/>
      </rPr>
      <t>)</t>
    </r>
    <r>
      <rPr>
        <sz val="12"/>
        <color theme="1"/>
        <rFont val="新細明體"/>
        <family val="2"/>
        <charset val="136"/>
        <scheme val="minor"/>
      </rPr>
      <t>=</t>
    </r>
    <phoneticPr fontId="1" type="noConversion"/>
  </si>
  <si>
    <r>
      <t>I 支架(a</t>
    </r>
    <r>
      <rPr>
        <sz val="10.199999999999999"/>
        <color theme="1"/>
        <rFont val="新細明體"/>
        <family val="1"/>
        <charset val="136"/>
      </rPr>
      <t>)</t>
    </r>
    <r>
      <rPr>
        <sz val="12"/>
        <color theme="1"/>
        <rFont val="新細明體"/>
        <family val="2"/>
        <charset val="136"/>
        <scheme val="minor"/>
      </rPr>
      <t>=</t>
    </r>
    <phoneticPr fontId="1" type="noConversion"/>
  </si>
  <si>
    <t>修正了</t>
    <phoneticPr fontId="1" type="noConversion"/>
  </si>
  <si>
    <r>
      <t>2</t>
    </r>
    <r>
      <rPr>
        <sz val="12"/>
        <color theme="1"/>
        <rFont val="Calibri"/>
        <family val="2"/>
        <charset val="161"/>
      </rPr>
      <t>θ</t>
    </r>
    <r>
      <rPr>
        <sz val="12"/>
        <color theme="1"/>
        <rFont val="新細明體"/>
        <family val="2"/>
        <charset val="136"/>
        <scheme val="minor"/>
      </rPr>
      <t>(徑)</t>
    </r>
    <phoneticPr fontId="1" type="noConversion"/>
  </si>
  <si>
    <t>r 力臂=</t>
    <phoneticPr fontId="1" type="noConversion"/>
  </si>
  <si>
    <t>I 圓盤=</t>
    <phoneticPr fontId="1" type="noConversion"/>
  </si>
  <si>
    <t>(cm)</t>
    <phoneticPr fontId="1" type="noConversion"/>
  </si>
  <si>
    <r>
      <rPr>
        <sz val="12"/>
        <color theme="1"/>
        <rFont val="Calibri"/>
        <family val="2"/>
        <charset val="161"/>
      </rPr>
      <t>α</t>
    </r>
    <r>
      <rPr>
        <sz val="12"/>
        <color theme="1"/>
        <rFont val="Calibri"/>
        <family val="2"/>
      </rPr>
      <t>=</t>
    </r>
    <phoneticPr fontId="1" type="noConversion"/>
  </si>
  <si>
    <t>m=</t>
    <phoneticPr fontId="1" type="noConversion"/>
  </si>
  <si>
    <r>
      <t>角位移</t>
    </r>
    <r>
      <rPr>
        <sz val="12"/>
        <color theme="1"/>
        <rFont val="Calibri"/>
        <family val="2"/>
        <charset val="161"/>
      </rPr>
      <t>θ(</t>
    </r>
    <r>
      <rPr>
        <sz val="12"/>
        <color theme="1"/>
        <rFont val="新細明體"/>
        <family val="2"/>
        <charset val="136"/>
        <scheme val="minor"/>
      </rPr>
      <t>徑)</t>
    </r>
    <phoneticPr fontId="1" type="noConversion"/>
  </si>
  <si>
    <r>
      <t>2</t>
    </r>
    <r>
      <rPr>
        <sz val="12"/>
        <color theme="1"/>
        <rFont val="Calibri"/>
        <family val="3"/>
        <charset val="161"/>
      </rPr>
      <t>π</t>
    </r>
    <phoneticPr fontId="1" type="noConversion"/>
  </si>
  <si>
    <r>
      <t>角加速度2</t>
    </r>
    <r>
      <rPr>
        <sz val="11"/>
        <color theme="1"/>
        <rFont val="Calibri"/>
        <family val="3"/>
        <charset val="161"/>
      </rPr>
      <t>θ</t>
    </r>
    <r>
      <rPr>
        <sz val="11"/>
        <color theme="1"/>
        <rFont val="新細明體"/>
        <family val="1"/>
        <charset val="136"/>
      </rPr>
      <t>/t^2</t>
    </r>
    <phoneticPr fontId="1" type="noConversion"/>
  </si>
  <si>
    <t>平均</t>
    <phoneticPr fontId="1" type="noConversion"/>
  </si>
  <si>
    <t>I 支架=</t>
    <phoneticPr fontId="1" type="noConversion"/>
  </si>
  <si>
    <t>轉動體</t>
    <phoneticPr fontId="1" type="noConversion"/>
  </si>
  <si>
    <t>圓盤</t>
    <phoneticPr fontId="1" type="noConversion"/>
  </si>
  <si>
    <t>圓盤+園環</t>
    <phoneticPr fontId="1" type="noConversion"/>
  </si>
  <si>
    <t>兩個圓盤</t>
    <phoneticPr fontId="1" type="noConversion"/>
  </si>
  <si>
    <r>
      <t>1 (2</t>
    </r>
    <r>
      <rPr>
        <sz val="12"/>
        <color theme="1"/>
        <rFont val="Calibri"/>
        <family val="3"/>
        <charset val="161"/>
      </rPr>
      <t>π)</t>
    </r>
    <phoneticPr fontId="1" type="noConversion"/>
  </si>
  <si>
    <t>圈數</t>
    <phoneticPr fontId="1" type="noConversion"/>
  </si>
  <si>
    <t>轉動慣量g*cm^2</t>
    <phoneticPr fontId="1" type="noConversion"/>
  </si>
  <si>
    <t>時間(s)</t>
    <phoneticPr fontId="1" type="noConversion"/>
  </si>
  <si>
    <t>平均時間(s)</t>
    <phoneticPr fontId="1" type="noConversion"/>
  </si>
  <si>
    <r>
      <t>角加速度2</t>
    </r>
    <r>
      <rPr>
        <sz val="12"/>
        <color theme="1"/>
        <rFont val="Calibri"/>
        <family val="3"/>
        <charset val="161"/>
      </rPr>
      <t>θ</t>
    </r>
    <r>
      <rPr>
        <sz val="12"/>
        <color theme="1"/>
        <rFont val="新細明體"/>
        <family val="2"/>
        <charset val="136"/>
        <scheme val="minor"/>
      </rPr>
      <t>/t^2</t>
    </r>
    <phoneticPr fontId="1" type="noConversion"/>
  </si>
  <si>
    <t>百分誤差</t>
    <phoneticPr fontId="1" type="noConversion"/>
  </si>
  <si>
    <t>力矩=</t>
    <phoneticPr fontId="1" type="noConversion"/>
  </si>
  <si>
    <t>m=</t>
    <phoneticPr fontId="1" type="noConversion"/>
  </si>
  <si>
    <t>轉動體</t>
    <phoneticPr fontId="1" type="noConversion"/>
  </si>
  <si>
    <t>圓盤+兩個1kg圓柱(d/2)</t>
    <phoneticPr fontId="1" type="noConversion"/>
  </si>
  <si>
    <t>圓盤+兩個1/4kg圓柱(d)</t>
    <phoneticPr fontId="1" type="noConversion"/>
  </si>
  <si>
    <t>平均時間</t>
    <phoneticPr fontId="1" type="noConversion"/>
  </si>
  <si>
    <t>力臂 r=</t>
    <phoneticPr fontId="1" type="noConversion"/>
  </si>
  <si>
    <t>τ=rmg=</t>
    <phoneticPr fontId="1" type="noConversion"/>
  </si>
  <si>
    <t>cm*dyne</t>
    <phoneticPr fontId="1" type="noConversion"/>
  </si>
  <si>
    <t>圓盤</t>
    <phoneticPr fontId="1" type="noConversion"/>
  </si>
  <si>
    <t>圓盤+圓環</t>
    <phoneticPr fontId="1" type="noConversion"/>
  </si>
  <si>
    <t>兩個圓盤</t>
    <phoneticPr fontId="1" type="noConversion"/>
  </si>
  <si>
    <t>I'</t>
    <phoneticPr fontId="1" type="noConversion"/>
  </si>
  <si>
    <r>
      <t>I'</t>
    </r>
    <r>
      <rPr>
        <sz val="12"/>
        <color theme="1"/>
        <rFont val="Calibri"/>
        <family val="3"/>
        <charset val="161"/>
      </rPr>
      <t>α</t>
    </r>
    <phoneticPr fontId="1" type="noConversion"/>
  </si>
  <si>
    <r>
      <rPr>
        <sz val="12"/>
        <color theme="1"/>
        <rFont val="Calibri"/>
        <family val="2"/>
        <charset val="161"/>
      </rPr>
      <t>τ</t>
    </r>
    <r>
      <rPr>
        <sz val="12"/>
        <color theme="1"/>
        <rFont val="新細明體"/>
        <family val="2"/>
        <charset val="136"/>
        <scheme val="minor"/>
      </rPr>
      <t>/</t>
    </r>
    <r>
      <rPr>
        <sz val="12"/>
        <color theme="1"/>
        <rFont val="Calibri"/>
        <family val="2"/>
      </rPr>
      <t>I'</t>
    </r>
    <r>
      <rPr>
        <sz val="12"/>
        <color theme="1"/>
        <rFont val="Calibri"/>
        <family val="2"/>
        <charset val="161"/>
      </rPr>
      <t>α</t>
    </r>
    <phoneticPr fontId="1" type="noConversion"/>
  </si>
  <si>
    <t>cm</t>
    <phoneticPr fontId="1" type="noConversion"/>
  </si>
  <si>
    <t>(from前面實驗)</t>
    <phoneticPr fontId="1" type="noConversion"/>
  </si>
  <si>
    <t>圓盤質量m=</t>
    <phoneticPr fontId="1" type="noConversion"/>
  </si>
  <si>
    <t>力矩(g)</t>
    <phoneticPr fontId="1" type="noConversion"/>
  </si>
  <si>
    <t>圓盤質量=</t>
    <phoneticPr fontId="1" type="noConversion"/>
  </si>
  <si>
    <t>圓環質量=</t>
    <phoneticPr fontId="1" type="noConversion"/>
  </si>
  <si>
    <t>圓盤半徑=</t>
    <phoneticPr fontId="1" type="noConversion"/>
  </si>
  <si>
    <t>圓還半徑=</t>
    <phoneticPr fontId="1" type="noConversion"/>
  </si>
  <si>
    <t>g</t>
    <phoneticPr fontId="1" type="noConversion"/>
  </si>
  <si>
    <t>I支架=</t>
    <phoneticPr fontId="1" type="noConversion"/>
  </si>
  <si>
    <r>
      <t>角位移</t>
    </r>
    <r>
      <rPr>
        <sz val="12"/>
        <color theme="1"/>
        <rFont val="Calibri"/>
        <family val="3"/>
        <charset val="161"/>
      </rPr>
      <t>θ</t>
    </r>
    <r>
      <rPr>
        <sz val="12"/>
        <color theme="1"/>
        <rFont val="新細明體"/>
        <family val="3"/>
        <charset val="136"/>
      </rPr>
      <t>(</t>
    </r>
    <r>
      <rPr>
        <sz val="12"/>
        <color theme="1"/>
        <rFont val="新細明體"/>
        <family val="2"/>
        <charset val="136"/>
        <scheme val="minor"/>
      </rPr>
      <t>徑)</t>
    </r>
    <phoneticPr fontId="1" type="noConversion"/>
  </si>
  <si>
    <t>g*cm^2</t>
    <phoneticPr fontId="1" type="noConversion"/>
  </si>
  <si>
    <t>(12,15)</t>
    <phoneticPr fontId="1" type="noConversion"/>
  </si>
  <si>
    <t>I'=I+I支架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</si>
</sst>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0.00_);[Red]\(0.00\)"/>
  </numFmts>
  <fonts count="1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Calibri"/>
      <family val="3"/>
      <charset val="161"/>
    </font>
    <font>
      <sz val="12"/>
      <color theme="1"/>
      <name val="新細明體"/>
      <family val="3"/>
      <charset val="136"/>
    </font>
    <font>
      <sz val="12"/>
      <color theme="1"/>
      <name val="新細明體"/>
      <family val="3"/>
      <charset val="161"/>
    </font>
    <font>
      <sz val="10.199999999999999"/>
      <color theme="1"/>
      <name val="新細明體"/>
      <family val="1"/>
      <charset val="136"/>
    </font>
    <font>
      <sz val="12"/>
      <color theme="1"/>
      <name val="Calibri"/>
      <family val="2"/>
      <charset val="161"/>
    </font>
    <font>
      <sz val="12"/>
      <color theme="1"/>
      <name val="Calibri"/>
      <family val="2"/>
    </font>
    <font>
      <sz val="11"/>
      <color theme="1"/>
      <name val="新細明體"/>
      <family val="2"/>
      <charset val="136"/>
      <scheme val="minor"/>
    </font>
    <font>
      <sz val="11"/>
      <color theme="1"/>
      <name val="Calibri"/>
      <family val="3"/>
      <charset val="161"/>
    </font>
    <font>
      <sz val="11"/>
      <color theme="1"/>
      <name val="新細明體"/>
      <family val="1"/>
      <charset val="136"/>
    </font>
    <font>
      <sz val="12"/>
      <color theme="1"/>
      <name val="新細明體"/>
      <family val="2"/>
      <charset val="161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31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2" fontId="0" fillId="0" borderId="1" xfId="0" applyNumberForma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9" xfId="0" applyBorder="1">
      <alignment vertical="center"/>
    </xf>
    <xf numFmtId="0" fontId="11" fillId="0" borderId="1" xfId="0" applyFont="1" applyBorder="1" applyAlignment="1">
      <alignment horizontal="center" vertical="center"/>
    </xf>
    <xf numFmtId="0" fontId="0" fillId="0" borderId="4" xfId="0" applyBorder="1">
      <alignment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178" fontId="0" fillId="0" borderId="1" xfId="0" applyNumberFormat="1" applyBorder="1">
      <alignment vertical="center"/>
    </xf>
    <xf numFmtId="10" fontId="0" fillId="0" borderId="1" xfId="0" applyNumberFormat="1" applyBorder="1" applyAlignment="1">
      <alignment horizontal="center" vertical="center"/>
    </xf>
    <xf numFmtId="0" fontId="0" fillId="2" borderId="1" xfId="0" applyFill="1" applyBorder="1">
      <alignment vertical="center"/>
    </xf>
    <xf numFmtId="0" fontId="0" fillId="2" borderId="1" xfId="0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6" fillId="0" borderId="1" xfId="0" applyFont="1" applyBorder="1" applyAlignment="1">
      <alignment horizontal="left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2</a:t>
            </a:r>
            <a:r>
              <a:rPr lang="el-GR" altLang="zh-TW"/>
              <a:t>θ</a:t>
            </a:r>
            <a:r>
              <a:rPr lang="zh-TW" altLang="en-US"/>
              <a:t>對</a:t>
            </a:r>
            <a:r>
              <a:rPr lang="en-US" altLang="zh-TW"/>
              <a:t>t^2</a:t>
            </a:r>
            <a:r>
              <a:rPr lang="zh-TW" altLang="en-US"/>
              <a:t>作圖</a:t>
            </a:r>
            <a:endParaRPr lang="en-US" altLang="zh-TW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 altLang="zh-TW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在定力矩下測量角加速度!$G$4</c:f>
              <c:strCache>
                <c:ptCount val="1"/>
                <c:pt idx="0">
                  <c:v>7.163333333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TW"/>
                </a:p>
              </c:txPr>
            </c:trendlineLbl>
          </c:trendline>
          <c:xVal>
            <c:numRef>
              <c:f>在定力矩下測量角加速度!$C$3:$C$9</c:f>
              <c:numCache>
                <c:formatCode>General</c:formatCode>
                <c:ptCount val="7"/>
                <c:pt idx="0">
                  <c:v>1.58</c:v>
                </c:pt>
                <c:pt idx="1">
                  <c:v>3.14</c:v>
                </c:pt>
                <c:pt idx="2">
                  <c:v>6.28</c:v>
                </c:pt>
                <c:pt idx="3">
                  <c:v>9.42</c:v>
                </c:pt>
                <c:pt idx="4">
                  <c:v>12.56</c:v>
                </c:pt>
                <c:pt idx="5">
                  <c:v>18.86</c:v>
                </c:pt>
                <c:pt idx="6">
                  <c:v>25.14</c:v>
                </c:pt>
              </c:numCache>
            </c:numRef>
          </c:xVal>
          <c:yVal>
            <c:numRef>
              <c:f>在定力矩下測量角加速度!$H$3:$H$9</c:f>
              <c:numCache>
                <c:formatCode>General</c:formatCode>
                <c:ptCount val="7"/>
                <c:pt idx="0">
                  <c:v>22.404444444444444</c:v>
                </c:pt>
                <c:pt idx="1">
                  <c:v>51.313344444444439</c:v>
                </c:pt>
                <c:pt idx="2">
                  <c:v>102.95484444444445</c:v>
                </c:pt>
                <c:pt idx="3">
                  <c:v>161.96804444444444</c:v>
                </c:pt>
                <c:pt idx="4">
                  <c:v>215.50239999999999</c:v>
                </c:pt>
                <c:pt idx="5">
                  <c:v>332.57601111111103</c:v>
                </c:pt>
                <c:pt idx="6">
                  <c:v>416.97640000000007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4FC-4368-AB62-9E3797EB82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5525024"/>
        <c:axId val="595541824"/>
      </c:scatterChart>
      <c:valAx>
        <c:axId val="5955250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595541824"/>
        <c:crosses val="autoZero"/>
        <c:crossBetween val="midCat"/>
      </c:valAx>
      <c:valAx>
        <c:axId val="595541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5955250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力矩</a:t>
            </a:r>
            <a:r>
              <a:rPr lang="en-US" altLang="zh-TW"/>
              <a:t>-</a:t>
            </a:r>
            <a:r>
              <a:rPr lang="zh-TW" altLang="en-US"/>
              <a:t>角加速度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驗證角加速度與外加力矩成正比!$C$1:$J$1</c:f>
              <c:numCache>
                <c:formatCode>General</c:formatCode>
                <c:ptCount val="8"/>
                <c:pt idx="0">
                  <c:v>10</c:v>
                </c:pt>
                <c:pt idx="2">
                  <c:v>20</c:v>
                </c:pt>
                <c:pt idx="4">
                  <c:v>30</c:v>
                </c:pt>
                <c:pt idx="6">
                  <c:v>40</c:v>
                </c:pt>
              </c:numCache>
            </c:numRef>
          </c:xVal>
          <c:yVal>
            <c:numRef>
              <c:f>驗證角加速度與外加力矩成正比!$C$6:$J$6</c:f>
              <c:numCache>
                <c:formatCode>General</c:formatCode>
                <c:ptCount val="8"/>
                <c:pt idx="0">
                  <c:v>5.8282413560127415E-2</c:v>
                </c:pt>
                <c:pt idx="2">
                  <c:v>0.10636456020173886</c:v>
                </c:pt>
                <c:pt idx="4">
                  <c:v>0.16157746720459126</c:v>
                </c:pt>
                <c:pt idx="6">
                  <c:v>0.21480546271726628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11E-47C3-933B-4B1AF63DC6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5384495"/>
        <c:axId val="795384975"/>
      </c:scatterChart>
      <c:valAx>
        <c:axId val="795384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95384975"/>
        <c:crosses val="autoZero"/>
        <c:crossBetween val="midCat"/>
      </c:valAx>
      <c:valAx>
        <c:axId val="795384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953844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537882</xdr:colOff>
      <xdr:row>11</xdr:row>
      <xdr:rowOff>12326</xdr:rowOff>
    </xdr:from>
    <xdr:to>
      <xdr:col>6</xdr:col>
      <xdr:colOff>224118</xdr:colOff>
      <xdr:row>23</xdr:row>
      <xdr:rowOff>200584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103E73D4-CBDA-4347-091C-5AE171E487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528637</xdr:colOff>
      <xdr:row>8</xdr:row>
      <xdr:rowOff>90487</xdr:rowOff>
    </xdr:from>
    <xdr:to>
      <xdr:col>7</xdr:col>
      <xdr:colOff>652462</xdr:colOff>
      <xdr:row>21</xdr:row>
      <xdr:rowOff>109537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E3C9F321-CA82-6718-AD4C-F06549C58E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37D05-4ADA-42E6-A165-56A662716E81}">
  <dimension ref="A1:L11"/>
  <sheetViews>
    <sheetView zoomScale="89" zoomScaleNormal="85" workbookViewId="0">
      <selection activeCell="G9" sqref="G9"/>
    </sheetView>
  </sheetViews>
  <sheetFormatPr defaultRowHeight="17" x14ac:dyDescent="0.4"/>
  <cols>
    <col min="1" max="1" width="9.453125" bestFit="1" customWidth="1"/>
    <col min="2" max="2" width="18.6328125" customWidth="1"/>
    <col min="7" max="7" width="10.08984375" customWidth="1"/>
    <col min="9" max="9" width="6.08984375" customWidth="1"/>
    <col min="10" max="10" width="14" customWidth="1"/>
  </cols>
  <sheetData>
    <row r="1" spans="1:12" x14ac:dyDescent="0.4">
      <c r="A1" s="12" t="s">
        <v>0</v>
      </c>
      <c r="B1" s="14" t="s">
        <v>54</v>
      </c>
      <c r="C1" s="15" t="s">
        <v>7</v>
      </c>
      <c r="D1" s="14" t="s">
        <v>3</v>
      </c>
      <c r="E1" s="14"/>
      <c r="F1" s="14"/>
      <c r="G1" s="14" t="s">
        <v>1</v>
      </c>
      <c r="H1" s="14" t="s">
        <v>2</v>
      </c>
      <c r="I1" s="2"/>
      <c r="J1" s="2"/>
      <c r="K1" s="2"/>
    </row>
    <row r="2" spans="1:12" x14ac:dyDescent="0.4">
      <c r="A2" s="13"/>
      <c r="B2" s="14"/>
      <c r="C2" s="16"/>
      <c r="D2" s="3">
        <v>1</v>
      </c>
      <c r="E2" s="3">
        <v>2</v>
      </c>
      <c r="F2" s="3">
        <v>3</v>
      </c>
      <c r="G2" s="14"/>
      <c r="H2" s="14"/>
      <c r="I2" s="2"/>
      <c r="J2" s="7" t="s">
        <v>12</v>
      </c>
      <c r="K2" s="3">
        <v>10</v>
      </c>
      <c r="L2" s="3" t="s">
        <v>52</v>
      </c>
    </row>
    <row r="3" spans="1:12" x14ac:dyDescent="0.4">
      <c r="A3" s="4">
        <v>0.125</v>
      </c>
      <c r="B3" s="5">
        <v>0.79</v>
      </c>
      <c r="C3" s="3">
        <f>2*B3</f>
        <v>1.58</v>
      </c>
      <c r="D3" s="3">
        <v>4.66</v>
      </c>
      <c r="E3" s="3">
        <v>4.88</v>
      </c>
      <c r="F3" s="3">
        <v>4.66</v>
      </c>
      <c r="G3" s="3">
        <f>AVERAGE(D3:F3)</f>
        <v>4.7333333333333334</v>
      </c>
      <c r="H3" s="3">
        <f>G3^2</f>
        <v>22.404444444444444</v>
      </c>
      <c r="J3" s="7" t="s">
        <v>8</v>
      </c>
      <c r="K3" s="3">
        <v>0.56759999999999999</v>
      </c>
      <c r="L3" s="3" t="s">
        <v>10</v>
      </c>
    </row>
    <row r="4" spans="1:12" x14ac:dyDescent="0.4">
      <c r="A4" s="4">
        <v>0.25</v>
      </c>
      <c r="B4" s="5">
        <v>1.57</v>
      </c>
      <c r="C4" s="3">
        <f t="shared" ref="C4:C9" si="0">2*B4</f>
        <v>3.14</v>
      </c>
      <c r="D4" s="3">
        <v>7.18</v>
      </c>
      <c r="E4" s="3">
        <v>7.09</v>
      </c>
      <c r="F4" s="3">
        <v>7.22</v>
      </c>
      <c r="G4" s="3">
        <f t="shared" ref="G4:G9" si="1">AVERAGE(D4:F4)</f>
        <v>7.1633333333333331</v>
      </c>
      <c r="H4" s="3">
        <f t="shared" ref="H4:H9" si="2">G4^2</f>
        <v>51.313344444444439</v>
      </c>
      <c r="J4" s="30" t="s">
        <v>11</v>
      </c>
      <c r="K4" s="3">
        <v>17.053000000000001</v>
      </c>
      <c r="L4" s="3"/>
    </row>
    <row r="5" spans="1:12" x14ac:dyDescent="0.4">
      <c r="A5" s="4">
        <v>0.5</v>
      </c>
      <c r="B5" s="5">
        <v>3.14</v>
      </c>
      <c r="C5" s="3">
        <f t="shared" si="0"/>
        <v>6.28</v>
      </c>
      <c r="D5" s="3">
        <v>10.16</v>
      </c>
      <c r="E5" s="3">
        <v>10.06</v>
      </c>
      <c r="F5" s="3">
        <v>10.220000000000001</v>
      </c>
      <c r="G5" s="3">
        <f t="shared" si="1"/>
        <v>10.146666666666667</v>
      </c>
      <c r="H5" s="3">
        <f t="shared" si="2"/>
        <v>102.95484444444445</v>
      </c>
      <c r="K5" s="2"/>
      <c r="L5" s="2"/>
    </row>
    <row r="6" spans="1:12" x14ac:dyDescent="0.4">
      <c r="A6" s="4">
        <v>0.75</v>
      </c>
      <c r="B6" s="6">
        <v>4.71</v>
      </c>
      <c r="C6" s="3">
        <f t="shared" si="0"/>
        <v>9.42</v>
      </c>
      <c r="D6" s="3">
        <v>12.6</v>
      </c>
      <c r="E6" s="3">
        <v>12.8</v>
      </c>
      <c r="F6" s="3">
        <v>12.78</v>
      </c>
      <c r="G6" s="3">
        <f t="shared" si="1"/>
        <v>12.726666666666667</v>
      </c>
      <c r="H6" s="3">
        <f t="shared" si="2"/>
        <v>161.96804444444444</v>
      </c>
    </row>
    <row r="7" spans="1:12" x14ac:dyDescent="0.4">
      <c r="A7" s="4">
        <v>1</v>
      </c>
      <c r="B7" s="6">
        <v>6.28</v>
      </c>
      <c r="C7" s="3">
        <f t="shared" si="0"/>
        <v>12.56</v>
      </c>
      <c r="D7" s="3">
        <v>14.94</v>
      </c>
      <c r="E7" s="3">
        <v>14.56</v>
      </c>
      <c r="F7" s="3">
        <v>14.54</v>
      </c>
      <c r="G7" s="3">
        <f t="shared" si="1"/>
        <v>14.68</v>
      </c>
      <c r="H7" s="3">
        <f t="shared" si="2"/>
        <v>215.50239999999999</v>
      </c>
      <c r="I7" s="2"/>
      <c r="J7" s="29" t="s">
        <v>46</v>
      </c>
      <c r="K7" s="3">
        <v>1000</v>
      </c>
      <c r="L7" s="3" t="s">
        <v>52</v>
      </c>
    </row>
    <row r="8" spans="1:12" x14ac:dyDescent="0.4">
      <c r="A8" s="4">
        <v>1.5</v>
      </c>
      <c r="B8" s="6">
        <v>9.43</v>
      </c>
      <c r="C8" s="3">
        <f t="shared" si="0"/>
        <v>18.86</v>
      </c>
      <c r="D8" s="23">
        <v>18.2</v>
      </c>
      <c r="E8" s="3">
        <v>18.309999999999999</v>
      </c>
      <c r="F8" s="3">
        <v>18.2</v>
      </c>
      <c r="G8" s="3">
        <f t="shared" si="1"/>
        <v>18.236666666666665</v>
      </c>
      <c r="H8" s="3">
        <f t="shared" si="2"/>
        <v>332.57601111111103</v>
      </c>
      <c r="I8" s="2"/>
      <c r="J8" s="29" t="s">
        <v>9</v>
      </c>
      <c r="K8" s="3">
        <f>0.5*K7*15*15</f>
        <v>112500</v>
      </c>
      <c r="L8" s="3" t="s">
        <v>55</v>
      </c>
    </row>
    <row r="9" spans="1:12" x14ac:dyDescent="0.4">
      <c r="A9" s="4">
        <v>2</v>
      </c>
      <c r="B9" s="5">
        <v>12.57</v>
      </c>
      <c r="C9" s="3">
        <f t="shared" si="0"/>
        <v>25.14</v>
      </c>
      <c r="D9" s="3">
        <v>20.3</v>
      </c>
      <c r="E9" s="3">
        <v>20.59</v>
      </c>
      <c r="F9" s="3">
        <v>20.37</v>
      </c>
      <c r="G9" s="3">
        <f>AVERAGE(D9:F9)</f>
        <v>20.420000000000002</v>
      </c>
      <c r="H9" s="3">
        <f t="shared" si="2"/>
        <v>416.97640000000007</v>
      </c>
      <c r="I9" s="2"/>
      <c r="J9" s="29" t="s">
        <v>4</v>
      </c>
      <c r="K9" s="3">
        <f>K7*9810*K3/K4-K8</f>
        <v>214020.61220899544</v>
      </c>
      <c r="L9" s="3" t="s">
        <v>55</v>
      </c>
    </row>
    <row r="10" spans="1:12" x14ac:dyDescent="0.4">
      <c r="J10" s="29" t="s">
        <v>5</v>
      </c>
      <c r="K10" s="3">
        <f>(K7*9810-K7*K3*K4)*K3/K4-K8</f>
        <v>213698.44244899548</v>
      </c>
      <c r="L10" s="3"/>
    </row>
    <row r="11" spans="1:12" x14ac:dyDescent="0.4">
      <c r="J11" s="29" t="s">
        <v>6</v>
      </c>
      <c r="K11" s="25">
        <f>ABS(K10-K9)/K10</f>
        <v>1.5075905856302841E-3</v>
      </c>
      <c r="L11" s="3"/>
    </row>
  </sheetData>
  <mergeCells count="6">
    <mergeCell ref="A1:A2"/>
    <mergeCell ref="B1:B2"/>
    <mergeCell ref="D1:F1"/>
    <mergeCell ref="G1:G2"/>
    <mergeCell ref="H1:H2"/>
    <mergeCell ref="C1:C2"/>
  </mergeCells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873B6-03F0-4001-B535-16F60166C151}">
  <dimension ref="A1:N11"/>
  <sheetViews>
    <sheetView zoomScale="72" zoomScaleNormal="100" workbookViewId="0">
      <selection activeCell="M4" sqref="M4:N4"/>
    </sheetView>
  </sheetViews>
  <sheetFormatPr defaultRowHeight="17" x14ac:dyDescent="0.4"/>
  <cols>
    <col min="2" max="2" width="13.36328125" customWidth="1"/>
    <col min="8" max="8" width="9.90625" bestFit="1" customWidth="1"/>
    <col min="12" max="12" width="11.7265625" customWidth="1"/>
  </cols>
  <sheetData>
    <row r="1" spans="1:14" x14ac:dyDescent="0.4">
      <c r="A1" s="1" t="s">
        <v>0</v>
      </c>
      <c r="B1" s="1" t="s">
        <v>13</v>
      </c>
      <c r="C1" s="14">
        <v>10</v>
      </c>
      <c r="D1" s="14"/>
      <c r="E1" s="14">
        <v>20</v>
      </c>
      <c r="F1" s="14"/>
      <c r="G1" s="14">
        <v>30</v>
      </c>
      <c r="H1" s="14"/>
      <c r="I1" s="14">
        <v>40</v>
      </c>
      <c r="J1" s="14"/>
      <c r="K1" s="1" t="s">
        <v>47</v>
      </c>
    </row>
    <row r="2" spans="1:14" x14ac:dyDescent="0.4">
      <c r="A2" s="15">
        <v>1</v>
      </c>
      <c r="B2" s="15" t="s">
        <v>14</v>
      </c>
      <c r="C2" s="11" t="s">
        <v>3</v>
      </c>
      <c r="D2" s="11" t="s">
        <v>16</v>
      </c>
      <c r="E2" s="11" t="s">
        <v>3</v>
      </c>
      <c r="F2" s="11" t="s">
        <v>16</v>
      </c>
      <c r="G2" s="11" t="s">
        <v>3</v>
      </c>
      <c r="H2" s="11" t="s">
        <v>16</v>
      </c>
      <c r="I2" s="11" t="s">
        <v>3</v>
      </c>
      <c r="J2" s="11" t="s">
        <v>16</v>
      </c>
      <c r="L2" s="2"/>
      <c r="M2" s="2"/>
    </row>
    <row r="3" spans="1:14" x14ac:dyDescent="0.4">
      <c r="A3" s="19"/>
      <c r="B3" s="19"/>
      <c r="C3" s="1">
        <v>14.94</v>
      </c>
      <c r="D3" s="15">
        <f>(C3+C4+C5)/3</f>
        <v>14.68</v>
      </c>
      <c r="E3" s="1">
        <v>10.91</v>
      </c>
      <c r="F3" s="15">
        <f>(E3+E4+E5)/3</f>
        <v>10.866666666666667</v>
      </c>
      <c r="G3" s="1">
        <v>8.68</v>
      </c>
      <c r="H3" s="15">
        <f>(G3+G4+G5)/3</f>
        <v>8.8166666666666647</v>
      </c>
      <c r="I3" s="1">
        <v>7.66</v>
      </c>
      <c r="J3" s="15">
        <f>(I3+I4+I5)/3</f>
        <v>7.6466666666666674</v>
      </c>
      <c r="L3" s="2"/>
      <c r="M3" s="2"/>
      <c r="N3" s="2"/>
    </row>
    <row r="4" spans="1:14" x14ac:dyDescent="0.4">
      <c r="A4" s="19"/>
      <c r="B4" s="19"/>
      <c r="C4" s="1">
        <v>14.56</v>
      </c>
      <c r="D4" s="19"/>
      <c r="E4" s="1">
        <v>10.94</v>
      </c>
      <c r="F4" s="19"/>
      <c r="G4" s="1">
        <v>8.8699999999999992</v>
      </c>
      <c r="H4" s="19"/>
      <c r="I4" s="1">
        <v>7.5</v>
      </c>
      <c r="J4" s="19"/>
      <c r="L4" s="3" t="s">
        <v>17</v>
      </c>
      <c r="M4" s="26">
        <v>213698</v>
      </c>
      <c r="N4" s="26" t="s">
        <v>55</v>
      </c>
    </row>
    <row r="5" spans="1:14" x14ac:dyDescent="0.4">
      <c r="A5" s="16"/>
      <c r="B5" s="16"/>
      <c r="C5" s="1">
        <v>14.54</v>
      </c>
      <c r="D5" s="16"/>
      <c r="E5" s="1">
        <v>10.75</v>
      </c>
      <c r="F5" s="16"/>
      <c r="G5" s="1">
        <v>8.9</v>
      </c>
      <c r="H5" s="16"/>
      <c r="I5" s="1">
        <v>7.78</v>
      </c>
      <c r="J5" s="16"/>
    </row>
    <row r="6" spans="1:14" ht="27" customHeight="1" x14ac:dyDescent="0.4">
      <c r="A6" s="20" t="s">
        <v>15</v>
      </c>
      <c r="B6" s="21"/>
      <c r="C6" s="17">
        <f>2*6.28/D3/D3</f>
        <v>5.8282413560127415E-2</v>
      </c>
      <c r="D6" s="18"/>
      <c r="E6" s="17">
        <f>6.28*2/F3/F3</f>
        <v>0.10636456020173886</v>
      </c>
      <c r="F6" s="18"/>
      <c r="G6" s="17">
        <f>2*6.28/H3/H3</f>
        <v>0.16157746720459126</v>
      </c>
      <c r="H6" s="18"/>
      <c r="I6" s="17">
        <f>2*6.28/J3/J3</f>
        <v>0.21480546271726628</v>
      </c>
      <c r="J6" s="18"/>
    </row>
    <row r="8" spans="1:14" x14ac:dyDescent="0.4">
      <c r="L8" s="2"/>
    </row>
    <row r="9" spans="1:14" x14ac:dyDescent="0.4">
      <c r="L9" s="2"/>
      <c r="M9" s="2"/>
      <c r="N9" s="2"/>
    </row>
    <row r="10" spans="1:14" x14ac:dyDescent="0.4">
      <c r="L10" s="2"/>
      <c r="M10" s="2"/>
      <c r="N10" s="2"/>
    </row>
    <row r="11" spans="1:14" x14ac:dyDescent="0.4">
      <c r="L11" s="2"/>
      <c r="M11" s="2"/>
      <c r="N11" s="2"/>
    </row>
  </sheetData>
  <mergeCells count="15">
    <mergeCell ref="I1:J1"/>
    <mergeCell ref="D3:D5"/>
    <mergeCell ref="F3:F5"/>
    <mergeCell ref="H3:H5"/>
    <mergeCell ref="J3:J5"/>
    <mergeCell ref="C1:D1"/>
    <mergeCell ref="E1:F1"/>
    <mergeCell ref="G1:H1"/>
    <mergeCell ref="C6:D6"/>
    <mergeCell ref="E6:F6"/>
    <mergeCell ref="G6:H6"/>
    <mergeCell ref="I6:J6"/>
    <mergeCell ref="A2:A5"/>
    <mergeCell ref="B2:B5"/>
    <mergeCell ref="A6:B6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18DD6-B9D8-462B-A9C8-6889B74913B8}">
  <dimension ref="A1:J14"/>
  <sheetViews>
    <sheetView zoomScale="96" zoomScaleNormal="145" workbookViewId="0">
      <selection activeCell="D6" sqref="D6"/>
    </sheetView>
  </sheetViews>
  <sheetFormatPr defaultRowHeight="17" x14ac:dyDescent="0.4"/>
  <cols>
    <col min="2" max="2" width="10.26953125" customWidth="1"/>
    <col min="4" max="4" width="17.26953125" customWidth="1"/>
    <col min="5" max="5" width="10.26953125" customWidth="1"/>
    <col min="8" max="8" width="10.36328125" customWidth="1"/>
    <col min="9" max="9" width="15" bestFit="1" customWidth="1"/>
  </cols>
  <sheetData>
    <row r="1" spans="1:10" x14ac:dyDescent="0.4">
      <c r="A1" s="2"/>
      <c r="B1" s="2"/>
      <c r="C1" s="2"/>
      <c r="D1" s="2"/>
      <c r="E1" s="2"/>
      <c r="F1" s="2"/>
      <c r="G1" s="2"/>
      <c r="H1" s="2"/>
      <c r="I1" s="2"/>
      <c r="J1" s="2"/>
    </row>
    <row r="2" spans="1:10" x14ac:dyDescent="0.4">
      <c r="A2" s="2"/>
      <c r="B2" s="7" t="s">
        <v>18</v>
      </c>
      <c r="C2" s="3" t="s">
        <v>23</v>
      </c>
      <c r="D2" s="3" t="s">
        <v>24</v>
      </c>
      <c r="E2" s="17" t="s">
        <v>25</v>
      </c>
      <c r="F2" s="22"/>
      <c r="G2" s="18"/>
      <c r="H2" s="3" t="s">
        <v>26</v>
      </c>
      <c r="I2" s="3" t="s">
        <v>27</v>
      </c>
      <c r="J2" s="3" t="s">
        <v>28</v>
      </c>
    </row>
    <row r="3" spans="1:10" ht="19.5" customHeight="1" x14ac:dyDescent="0.4">
      <c r="A3" s="2"/>
      <c r="B3" s="7" t="s">
        <v>19</v>
      </c>
      <c r="C3" s="15" t="s">
        <v>22</v>
      </c>
      <c r="D3" s="3">
        <f>0.5*C11*C12*C12+G7</f>
        <v>326198</v>
      </c>
      <c r="E3" s="3">
        <v>8.68</v>
      </c>
      <c r="F3" s="3">
        <v>8.8699999999999992</v>
      </c>
      <c r="G3" s="3">
        <v>8.9</v>
      </c>
      <c r="H3" s="3">
        <f>AVERAGE(E3:G3)</f>
        <v>8.8166666666666647</v>
      </c>
      <c r="I3" s="3">
        <f>6.28*2/H3/H3</f>
        <v>0.16157746720459126</v>
      </c>
      <c r="J3" s="3">
        <f>ABS($C$9-D3*I3)/D3*I3</f>
        <v>5.6635891284697815E-2</v>
      </c>
    </row>
    <row r="4" spans="1:10" ht="18.75" customHeight="1" x14ac:dyDescent="0.4">
      <c r="A4" s="2"/>
      <c r="B4" s="7" t="s">
        <v>20</v>
      </c>
      <c r="C4" s="19"/>
      <c r="D4" s="2">
        <f>D3+0.5*C7*(15*15+12*12)</f>
        <v>331733</v>
      </c>
      <c r="E4" s="3">
        <v>13.88</v>
      </c>
      <c r="F4" s="3">
        <v>13.91</v>
      </c>
      <c r="G4" s="3">
        <v>13.88</v>
      </c>
      <c r="H4" s="3">
        <f t="shared" ref="H4:H5" si="0">AVERAGE(E4:G4)</f>
        <v>13.89</v>
      </c>
      <c r="I4" s="3">
        <f t="shared" ref="I4:I5" si="1">6.28*2/H4/H4</f>
        <v>6.510062348359863E-2</v>
      </c>
      <c r="J4" s="3">
        <f t="shared" ref="J4:J5" si="2">ABS($C$9-D4*I4)/D4*I4</f>
        <v>2.8543431364628315E-2</v>
      </c>
    </row>
    <row r="5" spans="1:10" x14ac:dyDescent="0.4">
      <c r="A5" s="2"/>
      <c r="B5" s="7" t="s">
        <v>21</v>
      </c>
      <c r="C5" s="16"/>
      <c r="D5" s="3">
        <f>2*D3-G7</f>
        <v>438698</v>
      </c>
      <c r="E5" s="3">
        <v>12.12</v>
      </c>
      <c r="F5" s="3">
        <v>12.34</v>
      </c>
      <c r="G5" s="3">
        <v>12.19</v>
      </c>
      <c r="H5" s="3">
        <f t="shared" si="0"/>
        <v>12.216666666666667</v>
      </c>
      <c r="I5" s="3">
        <f t="shared" si="1"/>
        <v>8.4155826752455379E-2</v>
      </c>
      <c r="J5" s="3">
        <f t="shared" si="2"/>
        <v>2.4962126066049358E-2</v>
      </c>
    </row>
    <row r="6" spans="1:10" x14ac:dyDescent="0.4">
      <c r="A6" s="2"/>
      <c r="B6" s="8"/>
      <c r="C6" s="2"/>
      <c r="D6" s="2"/>
      <c r="E6" s="2"/>
      <c r="F6" s="2"/>
      <c r="G6" s="2"/>
      <c r="H6" s="2"/>
      <c r="I6" s="2"/>
      <c r="J6" s="2"/>
    </row>
    <row r="7" spans="1:10" x14ac:dyDescent="0.4">
      <c r="A7" s="2"/>
      <c r="B7" s="7" t="s">
        <v>30</v>
      </c>
      <c r="C7" s="3">
        <v>30</v>
      </c>
      <c r="D7" s="3" t="s">
        <v>52</v>
      </c>
      <c r="E7" s="2"/>
      <c r="F7" s="7" t="s">
        <v>53</v>
      </c>
      <c r="G7" s="27">
        <v>213698</v>
      </c>
      <c r="H7" s="27" t="s">
        <v>55</v>
      </c>
      <c r="I7" s="2"/>
      <c r="J7" s="2"/>
    </row>
    <row r="8" spans="1:10" x14ac:dyDescent="0.4">
      <c r="A8" s="2"/>
      <c r="B8" s="7" t="s">
        <v>8</v>
      </c>
      <c r="C8" s="3">
        <v>0.56759999999999999</v>
      </c>
      <c r="D8" s="3" t="s">
        <v>10</v>
      </c>
      <c r="E8" s="2"/>
      <c r="F8" s="2"/>
      <c r="G8" s="2"/>
      <c r="H8" s="2"/>
      <c r="I8" s="2"/>
      <c r="J8" s="2"/>
    </row>
    <row r="9" spans="1:10" x14ac:dyDescent="0.4">
      <c r="A9" s="2"/>
      <c r="B9" s="7" t="s">
        <v>29</v>
      </c>
      <c r="C9" s="3">
        <f>C7*9810*C8</f>
        <v>167044.68</v>
      </c>
      <c r="D9" s="3" t="s">
        <v>55</v>
      </c>
      <c r="E9" s="2"/>
      <c r="F9" s="2"/>
      <c r="G9" s="2"/>
      <c r="H9" s="2"/>
      <c r="I9" s="2"/>
      <c r="J9" s="2"/>
    </row>
    <row r="10" spans="1:10" x14ac:dyDescent="0.4">
      <c r="A10" s="2"/>
      <c r="B10" s="2"/>
      <c r="C10" s="2"/>
      <c r="D10" s="2"/>
      <c r="E10" s="2"/>
      <c r="F10" s="2"/>
      <c r="G10" s="2"/>
      <c r="H10" s="2"/>
      <c r="I10" s="2"/>
      <c r="J10" s="2"/>
    </row>
    <row r="11" spans="1:10" x14ac:dyDescent="0.4">
      <c r="A11" s="2"/>
      <c r="B11" s="1" t="s">
        <v>48</v>
      </c>
      <c r="C11" s="3">
        <v>1000</v>
      </c>
      <c r="D11" s="3" t="s">
        <v>52</v>
      </c>
      <c r="E11" s="2"/>
      <c r="F11" s="2"/>
      <c r="G11" s="2"/>
      <c r="H11" s="2"/>
      <c r="I11" s="2"/>
      <c r="J11" s="2"/>
    </row>
    <row r="12" spans="1:10" x14ac:dyDescent="0.4">
      <c r="B12" s="1" t="s">
        <v>50</v>
      </c>
      <c r="C12" s="1">
        <v>15</v>
      </c>
      <c r="D12" s="3" t="s">
        <v>44</v>
      </c>
    </row>
    <row r="13" spans="1:10" x14ac:dyDescent="0.4">
      <c r="B13" s="1" t="s">
        <v>49</v>
      </c>
      <c r="C13" s="1">
        <v>1000</v>
      </c>
      <c r="D13" s="3" t="s">
        <v>52</v>
      </c>
    </row>
    <row r="14" spans="1:10" x14ac:dyDescent="0.4">
      <c r="B14" s="1" t="s">
        <v>51</v>
      </c>
      <c r="C14" s="1" t="s">
        <v>56</v>
      </c>
      <c r="D14" s="3" t="s">
        <v>44</v>
      </c>
    </row>
  </sheetData>
  <mergeCells count="2">
    <mergeCell ref="C3:C5"/>
    <mergeCell ref="E2:G2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0F681-97CB-4BA5-B5C2-8FD5F6C2C7AF}">
  <dimension ref="A1:J14"/>
  <sheetViews>
    <sheetView tabSelected="1" zoomScale="95" zoomScaleNormal="115" workbookViewId="0">
      <selection activeCell="C4" sqref="C4"/>
    </sheetView>
  </sheetViews>
  <sheetFormatPr defaultRowHeight="17" x14ac:dyDescent="0.4"/>
  <cols>
    <col min="1" max="1" width="21.08984375" customWidth="1"/>
    <col min="2" max="2" width="16.26953125" customWidth="1"/>
    <col min="3" max="3" width="15" customWidth="1"/>
    <col min="4" max="4" width="7.26953125" customWidth="1"/>
    <col min="5" max="5" width="8.453125" customWidth="1"/>
    <col min="6" max="6" width="8" customWidth="1"/>
    <col min="7" max="7" width="9.453125" customWidth="1"/>
    <col min="8" max="8" width="16.90625" customWidth="1"/>
  </cols>
  <sheetData>
    <row r="1" spans="1:10" x14ac:dyDescent="0.4">
      <c r="A1" s="1" t="s">
        <v>31</v>
      </c>
      <c r="B1" s="1" t="s">
        <v>0</v>
      </c>
      <c r="C1" s="3" t="s">
        <v>24</v>
      </c>
      <c r="D1" s="17" t="s">
        <v>3</v>
      </c>
      <c r="E1" s="22"/>
      <c r="F1" s="18"/>
      <c r="G1" s="1" t="s">
        <v>34</v>
      </c>
      <c r="H1" s="3" t="s">
        <v>27</v>
      </c>
    </row>
    <row r="2" spans="1:10" ht="27" customHeight="1" x14ac:dyDescent="0.4">
      <c r="A2" s="1" t="s">
        <v>32</v>
      </c>
      <c r="B2" s="15" t="s">
        <v>22</v>
      </c>
      <c r="C2" s="1">
        <f>B13</f>
        <v>446260.5</v>
      </c>
      <c r="D2" s="1">
        <v>12.28</v>
      </c>
      <c r="E2" s="1">
        <v>12.5</v>
      </c>
      <c r="F2" s="1">
        <v>12.53</v>
      </c>
      <c r="G2" s="1">
        <f>AVERAGE(D2:F2)</f>
        <v>12.436666666666667</v>
      </c>
      <c r="H2" s="1">
        <f>2*6.28/G2/G2</f>
        <v>8.1204790594151977E-2</v>
      </c>
    </row>
    <row r="3" spans="1:10" ht="33" customHeight="1" x14ac:dyDescent="0.4">
      <c r="A3" s="1" t="s">
        <v>33</v>
      </c>
      <c r="B3" s="16"/>
      <c r="C3" s="1">
        <f>B14</f>
        <v>439260.5</v>
      </c>
      <c r="D3" s="1">
        <v>12.39</v>
      </c>
      <c r="E3" s="24">
        <v>12.35</v>
      </c>
      <c r="F3" s="1">
        <v>12.47</v>
      </c>
      <c r="G3" s="1">
        <f>AVERAGE(D3:F3)</f>
        <v>12.403333333333334</v>
      </c>
      <c r="H3" s="1">
        <f>2*6.28/G3/G3</f>
        <v>8.1641844652123319E-2</v>
      </c>
    </row>
    <row r="4" spans="1:10" x14ac:dyDescent="0.4">
      <c r="B4" s="9"/>
    </row>
    <row r="8" spans="1:10" x14ac:dyDescent="0.4">
      <c r="B8" t="s">
        <v>57</v>
      </c>
    </row>
    <row r="9" spans="1:10" x14ac:dyDescent="0.4">
      <c r="A9" s="1" t="s">
        <v>31</v>
      </c>
      <c r="B9" s="3" t="s">
        <v>41</v>
      </c>
      <c r="C9" s="3" t="s">
        <v>42</v>
      </c>
      <c r="D9" s="10" t="s">
        <v>43</v>
      </c>
      <c r="H9" s="7" t="s">
        <v>48</v>
      </c>
      <c r="I9" s="3">
        <v>1000</v>
      </c>
      <c r="J9" s="3" t="s">
        <v>52</v>
      </c>
    </row>
    <row r="10" spans="1:10" x14ac:dyDescent="0.4">
      <c r="A10" s="1" t="s">
        <v>38</v>
      </c>
      <c r="B10" s="1">
        <f>112500+I11</f>
        <v>326198</v>
      </c>
      <c r="C10" s="1">
        <f>B10*分析角加速度與轉動體質量之關係!I3</f>
        <v>52706.246647203261</v>
      </c>
      <c r="D10" s="1">
        <f>$I$13/C10</f>
        <v>3.1693526028923529</v>
      </c>
      <c r="E10" t="s">
        <v>45</v>
      </c>
      <c r="H10" s="7" t="s">
        <v>12</v>
      </c>
      <c r="I10" s="3">
        <v>30</v>
      </c>
      <c r="J10" s="3" t="s">
        <v>52</v>
      </c>
    </row>
    <row r="11" spans="1:10" x14ac:dyDescent="0.4">
      <c r="A11" s="1" t="s">
        <v>39</v>
      </c>
      <c r="B11" s="1">
        <f>分析角加速度與轉動體質量之關係!D4</f>
        <v>331733</v>
      </c>
      <c r="C11" s="1">
        <f>B11*分析角加速度與轉動體質量之關係!I4</f>
        <v>21596.025130084625</v>
      </c>
      <c r="D11" s="1">
        <f t="shared" ref="D11:D14" si="0">$I$13/C11</f>
        <v>7.7349734033832096</v>
      </c>
      <c r="H11" s="7" t="s">
        <v>53</v>
      </c>
      <c r="I11" s="27">
        <v>213698</v>
      </c>
      <c r="J11" s="27" t="s">
        <v>55</v>
      </c>
    </row>
    <row r="12" spans="1:10" x14ac:dyDescent="0.4">
      <c r="A12" s="1" t="s">
        <v>40</v>
      </c>
      <c r="B12" s="1">
        <f>分析角加速度與轉動體質量之關係!D5</f>
        <v>438698</v>
      </c>
      <c r="C12" s="1">
        <f>B12*分析角加速度與轉動體質量之關係!I5</f>
        <v>36918.992884648673</v>
      </c>
      <c r="D12" s="1">
        <f t="shared" si="0"/>
        <v>4.5246272161844105</v>
      </c>
      <c r="H12" s="7" t="s">
        <v>35</v>
      </c>
      <c r="I12" s="3">
        <v>0.56759999999999999</v>
      </c>
      <c r="J12" s="3" t="s">
        <v>44</v>
      </c>
    </row>
    <row r="13" spans="1:10" x14ac:dyDescent="0.4">
      <c r="A13" s="1" t="s">
        <v>32</v>
      </c>
      <c r="B13" s="1">
        <f>112500+I11+2*(0.5*1000*(11/4)*(11/4)+1000*7.5*7.5)</f>
        <v>446260.5</v>
      </c>
      <c r="C13" s="1">
        <f>B13*H2</f>
        <v>36238.490452941558</v>
      </c>
      <c r="D13" s="1">
        <f t="shared" si="0"/>
        <v>4.6095926710004722</v>
      </c>
      <c r="H13" s="28" t="s">
        <v>36</v>
      </c>
      <c r="I13" s="3">
        <f>I10*I12*9810</f>
        <v>167044.68</v>
      </c>
      <c r="J13" s="3" t="s">
        <v>37</v>
      </c>
    </row>
    <row r="14" spans="1:10" x14ac:dyDescent="0.4">
      <c r="A14" s="1" t="s">
        <v>33</v>
      </c>
      <c r="B14" s="1">
        <f>112500+I11+2*(0.5*250*(3/2)*(3/2)+(250*15*15))</f>
        <v>439260.5</v>
      </c>
      <c r="C14" s="1">
        <f>B14*H3</f>
        <v>35862.037502814012</v>
      </c>
      <c r="D14" s="1">
        <f t="shared" si="0"/>
        <v>4.6579807404108697</v>
      </c>
      <c r="H14" s="8"/>
    </row>
  </sheetData>
  <mergeCells count="2">
    <mergeCell ref="B2:B3"/>
    <mergeCell ref="D1:F1"/>
  </mergeCells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66C67B84E32DB04DBCA83EAE46E32309" ma:contentTypeVersion="4" ma:contentTypeDescription="建立新的文件。" ma:contentTypeScope="" ma:versionID="8806cf842a3544bed0345fdc47291eff">
  <xsd:schema xmlns:xsd="http://www.w3.org/2001/XMLSchema" xmlns:xs="http://www.w3.org/2001/XMLSchema" xmlns:p="http://schemas.microsoft.com/office/2006/metadata/properties" xmlns:ns3="e15b2dfd-0d3c-4e0a-8c64-f9edb2177601" targetNamespace="http://schemas.microsoft.com/office/2006/metadata/properties" ma:root="true" ma:fieldsID="cfd428fae8233c97be05683946849bbd" ns3:_="">
    <xsd:import namespace="e15b2dfd-0d3c-4e0a-8c64-f9edb2177601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15b2dfd-0d3c-4e0a-8c64-f9edb2177601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7B4F0CD-0B97-4219-AF12-F07D9234BE8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15b2dfd-0d3c-4e0a-8c64-f9edb217760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450BAFA-EFA5-469B-943F-3A069FCBFD4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29263F8-C220-4D4E-B500-4E34BD39762A}">
  <ds:schemaRefs>
    <ds:schemaRef ds:uri="http://schemas.microsoft.com/office/2006/documentManagement/types"/>
    <ds:schemaRef ds:uri="http://purl.org/dc/elements/1.1/"/>
    <ds:schemaRef ds:uri="http://purl.org/dc/dcmitype/"/>
    <ds:schemaRef ds:uri="http://schemas.microsoft.com/office/infopath/2007/PartnerControls"/>
    <ds:schemaRef ds:uri="http://purl.org/dc/terms/"/>
    <ds:schemaRef ds:uri="http://schemas.microsoft.com/office/2006/metadata/properties"/>
    <ds:schemaRef ds:uri="http://www.w3.org/XML/1998/namespace"/>
    <ds:schemaRef ds:uri="http://schemas.openxmlformats.org/package/2006/metadata/core-properties"/>
    <ds:schemaRef ds:uri="e15b2dfd-0d3c-4e0a-8c64-f9edb217760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在定力矩下測量角加速度</vt:lpstr>
      <vt:lpstr>驗證角加速度與外加力矩成正比</vt:lpstr>
      <vt:lpstr>分析角加速度與轉動體質量之關係</vt:lpstr>
      <vt:lpstr>驗證平行軸定理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何家睿</dc:creator>
  <cp:lastModifiedBy>何家睿</cp:lastModifiedBy>
  <dcterms:created xsi:type="dcterms:W3CDTF">2025-11-01T14:50:18Z</dcterms:created>
  <dcterms:modified xsi:type="dcterms:W3CDTF">2025-11-03T01:29:07Z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0x01010066C67B84E32DB04DBCA83EAE46E32309</vt:lpwstr>
  </property>
</Properties>
</file>