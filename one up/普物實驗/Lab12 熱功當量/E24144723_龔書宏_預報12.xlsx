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chool\one up\普物實驗\Lab12 熱功當量\"/>
    </mc:Choice>
  </mc:AlternateContent>
  <xr:revisionPtr revIDLastSave="0" documentId="13_ncr:1_{810FAA61-F72F-4BAA-AC4B-3CED443210C8}" xr6:coauthVersionLast="47" xr6:coauthVersionMax="47" xr10:uidLastSave="{00000000-0000-0000-0000-000000000000}"/>
  <bookViews>
    <workbookView xWindow="-110" yWindow="-110" windowWidth="25820" windowHeight="13900" activeTab="1" xr2:uid="{C1D86888-902E-426F-9250-4F422E2850E6}"/>
  </bookViews>
  <sheets>
    <sheet name="估算水當量" sheetId="1" r:id="rId1"/>
    <sheet name="擬合法計算、刪除水當量mc 重新計算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2" l="1"/>
  <c r="B23" i="2"/>
  <c r="D23" i="2"/>
  <c r="L28" i="2"/>
  <c r="L7" i="1"/>
  <c r="N16" i="2"/>
  <c r="P15" i="2"/>
  <c r="G17" i="2"/>
  <c r="F17" i="2"/>
  <c r="E17" i="2"/>
  <c r="G13" i="2"/>
  <c r="M28" i="2" s="1"/>
  <c r="F13" i="2"/>
  <c r="E13" i="2"/>
  <c r="G9" i="2"/>
  <c r="K5" i="2" s="1"/>
  <c r="P5" i="2" s="1"/>
  <c r="F9" i="2"/>
  <c r="E9" i="2"/>
  <c r="B6" i="1"/>
  <c r="J11" i="2"/>
  <c r="J10" i="2"/>
  <c r="G5" i="2"/>
  <c r="J5" i="2" s="1"/>
  <c r="O5" i="2" s="1"/>
  <c r="F5" i="2"/>
  <c r="E5" i="2"/>
  <c r="H6" i="1"/>
  <c r="G6" i="1"/>
  <c r="F6" i="1"/>
  <c r="B3" i="1"/>
  <c r="L5" i="2" l="1"/>
  <c r="Q5" i="2" s="1"/>
  <c r="K28" i="2"/>
  <c r="M5" i="2"/>
  <c r="R5" i="2" s="1"/>
  <c r="F9" i="1"/>
</calcChain>
</file>

<file path=xl/sharedStrings.xml><?xml version="1.0" encoding="utf-8"?>
<sst xmlns="http://schemas.openxmlformats.org/spreadsheetml/2006/main" count="40" uniqueCount="16">
  <si>
    <t>室溫T0</t>
    <phoneticPr fontId="1" type="noConversion"/>
  </si>
  <si>
    <t>保溫杯質量ma</t>
    <phoneticPr fontId="1" type="noConversion"/>
  </si>
  <si>
    <t>mc</t>
    <phoneticPr fontId="1" type="noConversion"/>
  </si>
  <si>
    <t>杯內裝水後質量m+ma</t>
    <phoneticPr fontId="1" type="noConversion"/>
  </si>
  <si>
    <t>水淨質量m</t>
    <phoneticPr fontId="1" type="noConversion"/>
  </si>
  <si>
    <t>加熱電流I</t>
    <phoneticPr fontId="1" type="noConversion"/>
  </si>
  <si>
    <t>電壓V</t>
    <phoneticPr fontId="1" type="noConversion"/>
  </si>
  <si>
    <t>溫度(。C)</t>
    <phoneticPr fontId="1" type="noConversion"/>
  </si>
  <si>
    <t>時間(秒)</t>
    <phoneticPr fontId="1" type="noConversion"/>
  </si>
  <si>
    <t>熱功當量J</t>
    <phoneticPr fontId="1" type="noConversion"/>
  </si>
  <si>
    <t>水質量m(g)</t>
    <phoneticPr fontId="1" type="noConversion"/>
  </si>
  <si>
    <t>IV(t2-t1)/C(T2-T1)</t>
    <phoneticPr fontId="1" type="noConversion"/>
  </si>
  <si>
    <t>a</t>
    <phoneticPr fontId="1" type="noConversion"/>
  </si>
  <si>
    <t>b</t>
    <phoneticPr fontId="1" type="noConversion"/>
  </si>
  <si>
    <t>J</t>
    <phoneticPr fontId="1" type="noConversion"/>
  </si>
  <si>
    <t>水質量m'(g)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</si>
</sst>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IV(t2-t1)/C(T2-T1)</a:t>
            </a:r>
            <a:r>
              <a:rPr lang="zh-TW" altLang="en-US"/>
              <a:t> 對</a:t>
            </a:r>
            <a:r>
              <a:rPr lang="en-US" altLang="zh-TW"/>
              <a:t>m</a:t>
            </a:r>
            <a:r>
              <a:rPr lang="zh-TW" altLang="en-US"/>
              <a:t>作圖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6161482939632544"/>
                  <c:y val="-2.83457276173811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'擬合法計算、刪除水當量mc 重新計算'!$J$4:$M$4</c:f>
              <c:numCache>
                <c:formatCode>General</c:formatCode>
                <c:ptCount val="4"/>
                <c:pt idx="0">
                  <c:v>240</c:v>
                </c:pt>
                <c:pt idx="1">
                  <c:v>260</c:v>
                </c:pt>
                <c:pt idx="2">
                  <c:v>280</c:v>
                </c:pt>
                <c:pt idx="3">
                  <c:v>300</c:v>
                </c:pt>
              </c:numCache>
            </c:numRef>
          </c:xVal>
          <c:yVal>
            <c:numRef>
              <c:f>'擬合法計算、刪除水當量mc 重新計算'!$J$5:$M$5</c:f>
              <c:numCache>
                <c:formatCode>General</c:formatCode>
                <c:ptCount val="4"/>
                <c:pt idx="0">
                  <c:v>964.61400000000015</c:v>
                </c:pt>
                <c:pt idx="1">
                  <c:v>1195.2640000000001</c:v>
                </c:pt>
                <c:pt idx="2">
                  <c:v>1191.5820000000001</c:v>
                </c:pt>
                <c:pt idx="3">
                  <c:v>1399.636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26-4364-BEAF-FFCF98709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3745488"/>
        <c:axId val="773747408"/>
      </c:scatterChart>
      <c:valAx>
        <c:axId val="773745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水淨質量 </a:t>
                </a:r>
                <a:r>
                  <a:rPr lang="en-US" altLang="zh-TW"/>
                  <a:t>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3747408"/>
        <c:crosses val="autoZero"/>
        <c:crossBetween val="midCat"/>
      </c:valAx>
      <c:valAx>
        <c:axId val="77374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IV(t2-t1)/C(T2-T1)</a:t>
                </a:r>
                <a:r>
                  <a:rPr lang="zh-TW" alt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 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3745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IV(t2-t1)/C(T2-T1)</a:t>
            </a: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對</a:t>
            </a: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</a:t>
            </a: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作圖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4221690331674541E-2"/>
                  <c:y val="0.3025978243952927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TW" baseline="0"/>
                      <a:t>y = 6.5069x + 130.91</a:t>
                    </a:r>
                    <a:endParaRPr lang="en-US" altLang="zh-TW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'擬合法計算、刪除水當量mc 重新計算'!$O$4:$R$4</c:f>
              <c:numCache>
                <c:formatCode>General</c:formatCode>
                <c:ptCount val="4"/>
                <c:pt idx="0">
                  <c:v>240</c:v>
                </c:pt>
                <c:pt idx="1">
                  <c:v>260</c:v>
                </c:pt>
                <c:pt idx="2">
                  <c:v>280</c:v>
                </c:pt>
                <c:pt idx="3">
                  <c:v>300</c:v>
                </c:pt>
              </c:numCache>
            </c:numRef>
          </c:xVal>
          <c:yVal>
            <c:numRef>
              <c:f>'擬合法計算、刪除水當量mc 重新計算'!$O$5:$R$5</c:f>
              <c:numCache>
                <c:formatCode>General</c:formatCode>
                <c:ptCount val="4"/>
                <c:pt idx="0">
                  <c:v>1664.614</c:v>
                </c:pt>
                <c:pt idx="1">
                  <c:v>1895.2640000000001</c:v>
                </c:pt>
                <c:pt idx="2">
                  <c:v>1891.5820000000001</c:v>
                </c:pt>
                <c:pt idx="3">
                  <c:v>2099.636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EA-4202-AB57-ED87F75DF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007296"/>
        <c:axId val="607007776"/>
      </c:scatterChart>
      <c:valAx>
        <c:axId val="607007296"/>
        <c:scaling>
          <c:orientation val="minMax"/>
          <c:min val="2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水淨質量 </a:t>
                </a: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07007776"/>
        <c:crosses val="autoZero"/>
        <c:crossBetween val="midCat"/>
      </c:valAx>
      <c:valAx>
        <c:axId val="607007776"/>
        <c:scaling>
          <c:orientation val="minMax"/>
          <c:min val="1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IV(t2-t1)/C(T2-T1)</a:t>
                </a:r>
                <a:r>
                  <a:rPr lang="zh-TW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 </a:t>
                </a:r>
                <a:endParaRPr lang="zh-TW" altLang="en-US" sz="11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07007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228782</xdr:colOff>
      <xdr:row>17</xdr:row>
      <xdr:rowOff>72027</xdr:rowOff>
    </xdr:from>
    <xdr:to>
      <xdr:col>20</xdr:col>
      <xdr:colOff>531767</xdr:colOff>
      <xdr:row>30</xdr:row>
      <xdr:rowOff>140607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CE828AE-37A8-ADEC-99C5-E98F8CB1A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193923</xdr:colOff>
      <xdr:row>2</xdr:row>
      <xdr:rowOff>161951</xdr:rowOff>
    </xdr:from>
    <xdr:to>
      <xdr:col>27</xdr:col>
      <xdr:colOff>515777</xdr:colOff>
      <xdr:row>16</xdr:row>
      <xdr:rowOff>13883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81A8D44E-AFA9-B23E-2CEB-9B17AA9EE3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B21F0-37DE-48F3-8D21-913B5964D799}">
  <dimension ref="A1:L9"/>
  <sheetViews>
    <sheetView workbookViewId="0">
      <selection activeCell="F9" sqref="F9"/>
    </sheetView>
  </sheetViews>
  <sheetFormatPr defaultRowHeight="17" x14ac:dyDescent="0.4"/>
  <cols>
    <col min="1" max="1" width="13" customWidth="1"/>
    <col min="5" max="5" width="21.26953125" customWidth="1"/>
  </cols>
  <sheetData>
    <row r="1" spans="1:12" x14ac:dyDescent="0.4">
      <c r="A1" s="1" t="s">
        <v>0</v>
      </c>
      <c r="B1" s="1">
        <v>24.5</v>
      </c>
      <c r="E1" s="1" t="s">
        <v>3</v>
      </c>
      <c r="F1" s="1">
        <v>530.79999999999995</v>
      </c>
    </row>
    <row r="2" spans="1:12" x14ac:dyDescent="0.4">
      <c r="A2" s="1" t="s">
        <v>1</v>
      </c>
      <c r="B2" s="1">
        <v>250.8</v>
      </c>
      <c r="E2" s="1" t="s">
        <v>4</v>
      </c>
      <c r="F2" s="1">
        <v>280</v>
      </c>
    </row>
    <row r="3" spans="1:12" x14ac:dyDescent="0.4">
      <c r="A3" s="1" t="s">
        <v>2</v>
      </c>
      <c r="B3" s="1">
        <f>0.05*B2+10</f>
        <v>22.54</v>
      </c>
      <c r="E3" s="1" t="s">
        <v>5</v>
      </c>
      <c r="F3" s="1">
        <v>1.3340000000000001</v>
      </c>
    </row>
    <row r="4" spans="1:12" x14ac:dyDescent="0.4">
      <c r="E4" s="1" t="s">
        <v>6</v>
      </c>
      <c r="F4" s="1">
        <v>14</v>
      </c>
    </row>
    <row r="5" spans="1:12" x14ac:dyDescent="0.4">
      <c r="B5">
        <v>9.0500000000000007</v>
      </c>
    </row>
    <row r="6" spans="1:12" x14ac:dyDescent="0.4">
      <c r="B6">
        <f>B1-B5</f>
        <v>15.45</v>
      </c>
      <c r="E6" s="1" t="s">
        <v>7</v>
      </c>
      <c r="F6" s="1">
        <f>B1-5</f>
        <v>19.5</v>
      </c>
      <c r="G6" s="1">
        <f>B1</f>
        <v>24.5</v>
      </c>
      <c r="H6" s="1">
        <f>B1+5</f>
        <v>29.5</v>
      </c>
    </row>
    <row r="7" spans="1:12" x14ac:dyDescent="0.4">
      <c r="B7">
        <v>39.950000000000003</v>
      </c>
      <c r="E7" s="1" t="s">
        <v>8</v>
      </c>
      <c r="F7" s="1">
        <v>440</v>
      </c>
      <c r="G7" s="1">
        <v>680</v>
      </c>
      <c r="H7" s="1">
        <v>950</v>
      </c>
      <c r="L7">
        <f>H7-F7</f>
        <v>510</v>
      </c>
    </row>
    <row r="9" spans="1:12" x14ac:dyDescent="0.4">
      <c r="E9" t="s">
        <v>9</v>
      </c>
      <c r="F9">
        <f>F3*F4*(H7-F7)/((F2+B3)*(H6-F6))</f>
        <v>3.1482646922720963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F72E0-AB1A-4A3A-90C5-6BBAE4247792}">
  <dimension ref="A1:R28"/>
  <sheetViews>
    <sheetView tabSelected="1" zoomScale="85" zoomScaleNormal="85" workbookViewId="0">
      <selection activeCell="A21" sqref="A21:F23"/>
    </sheetView>
  </sheetViews>
  <sheetFormatPr defaultRowHeight="17" x14ac:dyDescent="0.4"/>
  <cols>
    <col min="2" max="2" width="10.36328125" bestFit="1" customWidth="1"/>
  </cols>
  <sheetData>
    <row r="1" spans="1:18" x14ac:dyDescent="0.4">
      <c r="A1" s="1" t="s">
        <v>0</v>
      </c>
      <c r="B1" s="1">
        <v>24.5</v>
      </c>
      <c r="D1" s="1" t="s">
        <v>5</v>
      </c>
      <c r="E1" s="1">
        <v>1.351</v>
      </c>
    </row>
    <row r="2" spans="1:18" x14ac:dyDescent="0.4">
      <c r="D2" s="1" t="s">
        <v>6</v>
      </c>
      <c r="E2" s="1">
        <v>14</v>
      </c>
    </row>
    <row r="4" spans="1:18" x14ac:dyDescent="0.4">
      <c r="A4" s="1"/>
      <c r="B4" s="1"/>
      <c r="D4">
        <v>240</v>
      </c>
      <c r="I4" s="1" t="s">
        <v>10</v>
      </c>
      <c r="J4" s="1">
        <v>240</v>
      </c>
      <c r="K4" s="1">
        <v>260</v>
      </c>
      <c r="L4" s="1">
        <v>280</v>
      </c>
      <c r="M4" s="1">
        <v>300</v>
      </c>
      <c r="O4" s="1">
        <v>240</v>
      </c>
      <c r="P4" s="1">
        <v>260</v>
      </c>
      <c r="Q4" s="1">
        <v>280</v>
      </c>
      <c r="R4" s="1">
        <v>300</v>
      </c>
    </row>
    <row r="5" spans="1:18" x14ac:dyDescent="0.4">
      <c r="A5" s="1" t="s">
        <v>5</v>
      </c>
      <c r="B5" s="1">
        <v>1.35</v>
      </c>
      <c r="D5" s="1" t="s">
        <v>7</v>
      </c>
      <c r="E5" s="1">
        <f>B1-5</f>
        <v>19.5</v>
      </c>
      <c r="F5" s="1">
        <f>B1</f>
        <v>24.5</v>
      </c>
      <c r="G5" s="1">
        <f>B1+5</f>
        <v>29.5</v>
      </c>
      <c r="I5" s="1" t="s">
        <v>11</v>
      </c>
      <c r="J5" s="1">
        <f>E1*E2*(G6-E6)/(G5-E5)</f>
        <v>964.61400000000015</v>
      </c>
      <c r="K5" s="1">
        <f>B9*E2*(G10-E10)/(G9-E9)</f>
        <v>1195.2640000000001</v>
      </c>
      <c r="L5" s="1">
        <f>B13*E2*(G14-E14)/(G13-E13)</f>
        <v>1191.5820000000001</v>
      </c>
      <c r="M5" s="1">
        <f>E1*E2*(G18-E18)/(G17-E17)</f>
        <v>1399.636</v>
      </c>
      <c r="O5">
        <f>J5+J6</f>
        <v>1664.614</v>
      </c>
      <c r="P5">
        <f>K5+J6</f>
        <v>1895.2640000000001</v>
      </c>
      <c r="Q5">
        <f>L5+J6</f>
        <v>1891.5820000000001</v>
      </c>
      <c r="R5">
        <f>M5+J6</f>
        <v>2099.636</v>
      </c>
    </row>
    <row r="6" spans="1:18" x14ac:dyDescent="0.4">
      <c r="A6" s="1"/>
      <c r="B6" s="1"/>
      <c r="D6" s="1" t="s">
        <v>8</v>
      </c>
      <c r="E6" s="1">
        <v>440</v>
      </c>
      <c r="F6" s="1">
        <v>680</v>
      </c>
      <c r="G6" s="1">
        <v>950</v>
      </c>
      <c r="J6">
        <v>700</v>
      </c>
    </row>
    <row r="7" spans="1:18" x14ac:dyDescent="0.4">
      <c r="A7" s="1"/>
      <c r="B7" s="1"/>
    </row>
    <row r="8" spans="1:18" x14ac:dyDescent="0.4">
      <c r="D8">
        <v>260</v>
      </c>
      <c r="I8" s="1" t="s">
        <v>12</v>
      </c>
      <c r="J8" s="1">
        <v>6.5068999999999999</v>
      </c>
    </row>
    <row r="9" spans="1:18" x14ac:dyDescent="0.4">
      <c r="A9" s="1" t="s">
        <v>5</v>
      </c>
      <c r="B9" s="1">
        <v>1.3340000000000001</v>
      </c>
      <c r="D9" s="1" t="s">
        <v>7</v>
      </c>
      <c r="E9" s="1">
        <f>B1-5</f>
        <v>19.5</v>
      </c>
      <c r="F9" s="1">
        <f>B1</f>
        <v>24.5</v>
      </c>
      <c r="G9" s="1">
        <f>B1+5</f>
        <v>29.5</v>
      </c>
      <c r="I9" s="1" t="s">
        <v>13</v>
      </c>
      <c r="J9" s="1">
        <v>130.91</v>
      </c>
    </row>
    <row r="10" spans="1:18" x14ac:dyDescent="0.4">
      <c r="A10" s="1"/>
      <c r="B10" s="1"/>
      <c r="D10" s="1" t="s">
        <v>8</v>
      </c>
      <c r="E10" s="1">
        <v>950</v>
      </c>
      <c r="F10" s="1">
        <v>1240</v>
      </c>
      <c r="G10" s="1">
        <v>1590</v>
      </c>
      <c r="I10" s="1" t="s">
        <v>14</v>
      </c>
      <c r="J10" s="1">
        <f>J8</f>
        <v>6.5068999999999999</v>
      </c>
    </row>
    <row r="11" spans="1:18" x14ac:dyDescent="0.4">
      <c r="I11" s="1" t="s">
        <v>2</v>
      </c>
      <c r="J11" s="1">
        <f>J9/J8</f>
        <v>20.11864328635756</v>
      </c>
    </row>
    <row r="12" spans="1:18" x14ac:dyDescent="0.4">
      <c r="D12">
        <v>280</v>
      </c>
    </row>
    <row r="13" spans="1:18" x14ac:dyDescent="0.4">
      <c r="A13" s="1" t="s">
        <v>5</v>
      </c>
      <c r="B13" s="1">
        <v>1.351</v>
      </c>
      <c r="D13" s="1" t="s">
        <v>7</v>
      </c>
      <c r="E13" s="1">
        <f>B1-5</f>
        <v>19.5</v>
      </c>
      <c r="F13" s="1">
        <f>B1</f>
        <v>24.5</v>
      </c>
      <c r="G13" s="1">
        <f>B1+5</f>
        <v>29.5</v>
      </c>
    </row>
    <row r="14" spans="1:18" x14ac:dyDescent="0.4">
      <c r="A14" s="1"/>
      <c r="B14" s="1"/>
      <c r="D14" s="1" t="s">
        <v>8</v>
      </c>
      <c r="E14" s="1">
        <v>590</v>
      </c>
      <c r="F14" s="1">
        <v>890</v>
      </c>
      <c r="G14" s="1">
        <v>1220</v>
      </c>
      <c r="L14">
        <v>15.3</v>
      </c>
      <c r="N14">
        <v>16.690000000000001</v>
      </c>
    </row>
    <row r="15" spans="1:18" x14ac:dyDescent="0.4">
      <c r="L15">
        <v>24.5</v>
      </c>
      <c r="N15">
        <v>24.5</v>
      </c>
      <c r="P15">
        <f>N15-N14</f>
        <v>7.8099999999999987</v>
      </c>
    </row>
    <row r="16" spans="1:18" x14ac:dyDescent="0.4">
      <c r="D16">
        <v>300</v>
      </c>
      <c r="L16">
        <v>34</v>
      </c>
      <c r="N16">
        <f>N15+P15</f>
        <v>32.31</v>
      </c>
    </row>
    <row r="17" spans="1:15" x14ac:dyDescent="0.4">
      <c r="A17" s="1" t="s">
        <v>5</v>
      </c>
      <c r="B17" s="1">
        <v>1.353</v>
      </c>
      <c r="D17" s="1" t="s">
        <v>7</v>
      </c>
      <c r="E17" s="1">
        <f>B1-5</f>
        <v>19.5</v>
      </c>
      <c r="F17" s="1">
        <f>B1</f>
        <v>24.5</v>
      </c>
      <c r="G17" s="1">
        <f>B1+5</f>
        <v>29.5</v>
      </c>
    </row>
    <row r="18" spans="1:15" x14ac:dyDescent="0.4">
      <c r="A18" s="1"/>
      <c r="B18" s="1"/>
      <c r="D18" s="1" t="s">
        <v>8</v>
      </c>
      <c r="E18" s="1">
        <v>640</v>
      </c>
      <c r="F18" s="1">
        <v>990</v>
      </c>
      <c r="G18" s="1">
        <v>1380</v>
      </c>
      <c r="O18">
        <v>15</v>
      </c>
    </row>
    <row r="19" spans="1:15" x14ac:dyDescent="0.4">
      <c r="O19">
        <v>24.5</v>
      </c>
    </row>
    <row r="20" spans="1:15" x14ac:dyDescent="0.4">
      <c r="O20">
        <v>34</v>
      </c>
    </row>
    <row r="21" spans="1:15" x14ac:dyDescent="0.4">
      <c r="A21" s="1" t="s">
        <v>10</v>
      </c>
      <c r="B21" s="1">
        <v>240</v>
      </c>
      <c r="C21" s="1" t="s">
        <v>10</v>
      </c>
      <c r="D21" s="1">
        <v>260</v>
      </c>
      <c r="E21" s="1" t="s">
        <v>10</v>
      </c>
      <c r="F21" s="1">
        <v>280</v>
      </c>
    </row>
    <row r="22" spans="1:15" x14ac:dyDescent="0.4">
      <c r="A22" s="1" t="s">
        <v>15</v>
      </c>
      <c r="B22" s="1">
        <v>260</v>
      </c>
      <c r="C22" s="1" t="s">
        <v>15</v>
      </c>
      <c r="D22" s="1">
        <v>280</v>
      </c>
      <c r="E22" s="1" t="s">
        <v>15</v>
      </c>
      <c r="F22" s="1">
        <v>300</v>
      </c>
    </row>
    <row r="23" spans="1:15" x14ac:dyDescent="0.4">
      <c r="A23" s="1" t="s">
        <v>14</v>
      </c>
      <c r="B23" s="1">
        <f>(E1*E2*(((G6-E6)/10)-((G10-E10)/10)))/(-20)</f>
        <v>12.2941</v>
      </c>
      <c r="C23" s="1" t="s">
        <v>14</v>
      </c>
      <c r="D23" s="1">
        <f>(E1*E2*(((G10-E10)/10)-((G14-E14)/10)))/(-20)</f>
        <v>-0.9457000000000001</v>
      </c>
      <c r="E23" s="1" t="s">
        <v>14</v>
      </c>
      <c r="F23" s="1">
        <f>E1*E2*((G14-E14)/(G13-E13)-(G18-E18)/(G17-E17))/(D12-D16)</f>
        <v>10.402700000000001</v>
      </c>
    </row>
    <row r="26" spans="1:15" x14ac:dyDescent="0.4">
      <c r="K26">
        <v>240</v>
      </c>
      <c r="L26">
        <v>240</v>
      </c>
      <c r="M26">
        <v>240</v>
      </c>
    </row>
    <row r="27" spans="1:15" x14ac:dyDescent="0.4">
      <c r="K27">
        <v>280</v>
      </c>
      <c r="L27">
        <v>300</v>
      </c>
      <c r="M27">
        <v>280</v>
      </c>
    </row>
    <row r="28" spans="1:15" x14ac:dyDescent="0.4">
      <c r="K28">
        <f>E1*E2*((G6-E6)/(G5-E5)-(G14-E14)/(G13-E13))/(D4-D8)</f>
        <v>11.348400000000002</v>
      </c>
      <c r="L28">
        <f>E1*E2*((G6-E6)/(G5-E5)-(G18-E18)/(G17-E17))/(D4-D16)</f>
        <v>7.2503666666666673</v>
      </c>
      <c r="M28">
        <f>E1*E2*((G6-E6)/(G5-E5)-(G14-E14)/(G13-E13))/(D4-D12)</f>
        <v>5.6742000000000008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估算水當量</vt:lpstr>
      <vt:lpstr>擬合法計算、刪除水當量mc 重新計算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</dc:creator>
  <cp:lastModifiedBy>asa_wang</cp:lastModifiedBy>
  <dcterms:created xsi:type="dcterms:W3CDTF">2025-12-01T02:23:38Z</dcterms:created>
  <dcterms:modified xsi:type="dcterms:W3CDTF">2025-12-10T11:20:47Z</dcterms:modified>
</cp:coreProperties>
</file>