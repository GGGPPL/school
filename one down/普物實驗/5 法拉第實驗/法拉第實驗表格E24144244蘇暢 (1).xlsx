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hool\one down\普物實驗\5 法拉第實驗\"/>
    </mc:Choice>
  </mc:AlternateContent>
  <xr:revisionPtr revIDLastSave="0" documentId="8_{01905CD7-C348-46C6-AEAE-66D847ECE7D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H40" i="1"/>
  <c r="G40" i="1"/>
  <c r="F40" i="1"/>
  <c r="E40" i="1"/>
  <c r="D40" i="1"/>
  <c r="G4" i="1"/>
  <c r="E5" i="1" a="1"/>
  <c r="E6" i="1" a="1"/>
  <c r="E6" i="1" l="1"/>
  <c r="E5" i="1"/>
  <c r="D14" i="1" l="1"/>
  <c r="D15" i="1" s="1"/>
  <c r="I14" i="1"/>
  <c r="I15" i="1" s="1"/>
  <c r="H14" i="1"/>
  <c r="H15" i="1" s="1"/>
  <c r="G14" i="1"/>
  <c r="G15" i="1" s="1"/>
  <c r="F14" i="1"/>
  <c r="F15" i="1" s="1"/>
  <c r="E14" i="1"/>
  <c r="E15" i="1" s="1"/>
  <c r="J42" i="1"/>
  <c r="D31" i="1"/>
  <c r="D32" i="1" s="1"/>
  <c r="I42" i="1"/>
  <c r="I43" i="1" s="1"/>
  <c r="H42" i="1"/>
  <c r="H43" i="1" s="1"/>
  <c r="G42" i="1"/>
  <c r="G43" i="1" s="1"/>
  <c r="F42" i="1"/>
  <c r="F43" i="1" s="1"/>
  <c r="E42" i="1"/>
  <c r="E43" i="1" s="1"/>
  <c r="D42" i="1"/>
  <c r="D43" i="1" s="1"/>
  <c r="I31" i="1"/>
  <c r="I32" i="1" s="1"/>
  <c r="H31" i="1"/>
  <c r="H32" i="1" s="1"/>
  <c r="G31" i="1"/>
  <c r="G32" i="1" s="1"/>
  <c r="F31" i="1"/>
  <c r="F32" i="1" s="1"/>
  <c r="E31" i="1"/>
  <c r="E32" i="1" s="1"/>
  <c r="I21" i="1"/>
  <c r="I22" i="1" s="1"/>
  <c r="H21" i="1"/>
  <c r="H22" i="1" s="1"/>
  <c r="G21" i="1"/>
  <c r="G22" i="1" s="1"/>
  <c r="F21" i="1"/>
  <c r="F22" i="1" s="1"/>
  <c r="E21" i="1"/>
  <c r="E22" i="1" s="1"/>
  <c r="D21" i="1"/>
  <c r="D22" i="1" s="1"/>
</calcChain>
</file>

<file path=xl/sharedStrings.xml><?xml version="1.0" encoding="utf-8"?>
<sst xmlns="http://schemas.openxmlformats.org/spreadsheetml/2006/main" count="52" uniqueCount="37">
  <si>
    <t>場線圈平均半徑(m)</t>
  </si>
  <si>
    <t>線圈匝數</t>
  </si>
  <si>
    <r>
      <rPr>
        <sz val="12"/>
        <color theme="1"/>
        <rFont val="DFKai-SB"/>
        <family val="4"/>
        <charset val="136"/>
      </rPr>
      <t>串聯電阻r(</t>
    </r>
    <r>
      <rPr>
        <sz val="12"/>
        <color theme="1"/>
        <rFont val="Calibri"/>
      </rPr>
      <t>Ω</t>
    </r>
    <r>
      <rPr>
        <sz val="12"/>
        <color theme="1"/>
        <rFont val="標楷體"/>
        <family val="4"/>
        <charset val="136"/>
      </rPr>
      <t>)</t>
    </r>
  </si>
  <si>
    <r>
      <rPr>
        <sz val="12"/>
        <color theme="1"/>
        <rFont val="DFKai-SB"/>
        <family val="4"/>
        <charset val="136"/>
      </rPr>
      <t>磁導率(µ</t>
    </r>
    <r>
      <rPr>
        <vertAlign val="subscript"/>
        <sz val="12"/>
        <color theme="1"/>
        <rFont val="標楷體"/>
        <family val="4"/>
        <charset val="136"/>
      </rPr>
      <t>0</t>
    </r>
    <r>
      <rPr>
        <sz val="12"/>
        <color theme="1"/>
        <rFont val="標楷體"/>
        <family val="4"/>
        <charset val="136"/>
      </rPr>
      <t>)(T·m/A)</t>
    </r>
  </si>
  <si>
    <r>
      <rPr>
        <sz val="12"/>
        <color theme="1"/>
        <rFont val="DFKai-SB"/>
        <family val="4"/>
        <charset val="136"/>
      </rPr>
      <t>N</t>
    </r>
    <r>
      <rPr>
        <vertAlign val="subscript"/>
        <sz val="12"/>
        <color theme="1"/>
        <rFont val="標楷體"/>
        <family val="4"/>
        <charset val="136"/>
      </rPr>
      <t>D</t>
    </r>
    <r>
      <rPr>
        <sz val="12"/>
        <color theme="1"/>
        <rFont val="標楷體"/>
        <family val="4"/>
        <charset val="136"/>
      </rPr>
      <t>A</t>
    </r>
    <r>
      <rPr>
        <vertAlign val="subscript"/>
        <sz val="12"/>
        <color theme="1"/>
        <rFont val="標楷體"/>
        <family val="4"/>
        <charset val="136"/>
      </rPr>
      <t xml:space="preserve">D </t>
    </r>
    <r>
      <rPr>
        <sz val="12"/>
        <color theme="1"/>
        <rFont val="標楷體"/>
        <family val="4"/>
        <charset val="136"/>
      </rPr>
      <t>(400匝線圈) =</t>
    </r>
  </si>
  <si>
    <r>
      <rPr>
        <sz val="12"/>
        <color theme="1"/>
        <rFont val="DFKai-SB"/>
        <family val="4"/>
        <charset val="136"/>
      </rPr>
      <t>N</t>
    </r>
    <r>
      <rPr>
        <vertAlign val="subscript"/>
        <sz val="12"/>
        <color theme="1"/>
        <rFont val="標楷體"/>
        <family val="4"/>
        <charset val="136"/>
      </rPr>
      <t>D</t>
    </r>
    <r>
      <rPr>
        <sz val="12"/>
        <color theme="1"/>
        <rFont val="標楷體"/>
        <family val="4"/>
        <charset val="136"/>
      </rPr>
      <t>A</t>
    </r>
    <r>
      <rPr>
        <vertAlign val="subscript"/>
        <sz val="12"/>
        <color theme="1"/>
        <rFont val="標楷體"/>
        <family val="4"/>
        <charset val="136"/>
      </rPr>
      <t xml:space="preserve">D </t>
    </r>
    <r>
      <rPr>
        <sz val="12"/>
        <color theme="1"/>
        <rFont val="標楷體"/>
        <family val="4"/>
        <charset val="136"/>
      </rPr>
      <t>(2000匝線圈) =</t>
    </r>
  </si>
  <si>
    <t>波型：三角波</t>
  </si>
  <si>
    <t>匝數 = 400</t>
  </si>
  <si>
    <r>
      <rPr>
        <sz val="12"/>
        <color theme="1"/>
        <rFont val="DFKai-SB"/>
        <family val="4"/>
        <charset val="136"/>
      </rP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</si>
  <si>
    <t>頻率f(Hz)</t>
  </si>
  <si>
    <t>#填入峰對峰值除以二的值</t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</si>
  <si>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</si>
  <si>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</si>
  <si>
    <t>百分誤差(%)</t>
  </si>
  <si>
    <t>匝數 = 2000</t>
  </si>
  <si>
    <r>
      <rPr>
        <sz val="12"/>
        <color theme="1"/>
        <rFont val="DFKai-SB"/>
        <family val="4"/>
        <charset val="136"/>
      </rP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</si>
  <si>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</si>
  <si>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</si>
  <si>
    <t>頻率f(Hz) =</t>
  </si>
  <si>
    <r>
      <rPr>
        <sz val="12"/>
        <color theme="1"/>
        <rFont val="DFKai-SB"/>
        <family val="4"/>
        <charset val="136"/>
      </rP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</si>
  <si>
    <t>距離X(cm)</t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</si>
  <si>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</si>
  <si>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</si>
  <si>
    <t>距離X(cm) =</t>
  </si>
  <si>
    <r>
      <rPr>
        <sz val="12"/>
        <color theme="1"/>
        <rFont val="DFKai-SB"/>
        <family val="4"/>
        <charset val="136"/>
      </rP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</si>
  <si>
    <r>
      <rPr>
        <sz val="12"/>
        <color theme="1"/>
        <rFont val="Calibri"/>
      </rPr>
      <t>Θ</t>
    </r>
    <r>
      <rPr>
        <sz val="12"/>
        <color theme="1"/>
        <rFont val="標楷體"/>
        <family val="4"/>
        <charset val="136"/>
      </rPr>
      <t>(°)</t>
    </r>
  </si>
  <si>
    <r>
      <rPr>
        <sz val="12"/>
        <color theme="1"/>
        <rFont val="DFKai-SB"/>
        <family val="4"/>
        <charset val="136"/>
      </rPr>
      <t>cos</t>
    </r>
    <r>
      <rPr>
        <sz val="12"/>
        <color theme="1"/>
        <rFont val="Calibri"/>
      </rPr>
      <t>Θ</t>
    </r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</si>
  <si>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</si>
  <si>
    <r>
      <rPr>
        <sz val="12"/>
        <color theme="1"/>
        <rFont val="DFKai-SB"/>
        <family val="4"/>
        <charset val="136"/>
      </rPr>
      <t>|</t>
    </r>
    <r>
      <rPr>
        <sz val="12"/>
        <color theme="1"/>
        <rFont val="Calibri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</si>
  <si>
    <r>
      <rPr>
        <sz val="12"/>
        <color theme="1"/>
        <rFont val="DFKai-SB"/>
        <family val="4"/>
        <charset val="136"/>
      </rP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</si>
  <si>
    <t>波型</t>
  </si>
  <si>
    <t>輸入訊號波形</t>
  </si>
  <si>
    <t>輸出訊號波形</t>
  </si>
  <si>
    <t>三角波</t>
  </si>
  <si>
    <t>(照片)</t>
  </si>
  <si>
    <t>正弦波</t>
  </si>
  <si>
    <t>方波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</si>
</sst>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E+00"/>
    <numFmt numFmtId="177" formatCode="0.000"/>
    <numFmt numFmtId="178" formatCode="0.000_ "/>
  </numFmts>
  <fonts count="13">
    <font>
      <sz val="12"/>
      <color theme="1"/>
      <name val="Aptos Narrow"/>
      <scheme val="minor"/>
    </font>
    <font>
      <sz val="12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2"/>
      <name val="Aptos Narrow"/>
    </font>
    <font>
      <sz val="12"/>
      <color rgb="FFFF0000"/>
      <name val="DFKai-SB"/>
      <family val="4"/>
      <charset val="136"/>
    </font>
    <font>
      <sz val="12"/>
      <color theme="1"/>
      <name val="Calibri"/>
    </font>
    <font>
      <sz val="12"/>
      <color theme="1"/>
      <name val="標楷體"/>
      <family val="4"/>
      <charset val="136"/>
    </font>
    <font>
      <vertAlign val="subscript"/>
      <sz val="12"/>
      <color theme="1"/>
      <name val="標楷體"/>
      <family val="4"/>
      <charset val="136"/>
    </font>
    <font>
      <sz val="9"/>
      <name val="Aptos Narrow"/>
      <family val="3"/>
      <charset val="136"/>
      <scheme val="minor"/>
    </font>
    <font>
      <sz val="12"/>
      <color theme="1"/>
      <name val="Aptos Narrow"/>
      <scheme val="minor"/>
    </font>
    <font>
      <sz val="12"/>
      <color rgb="FF1F1F1F"/>
      <name val="Arial"/>
      <family val="2"/>
    </font>
    <font>
      <sz val="12"/>
      <color rgb="FF1F1F1F"/>
      <name val="Arial"/>
      <family val="2"/>
      <charset val="136"/>
    </font>
    <font>
      <sz val="12"/>
      <color rgb="FF1F1F1F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D9F2D0"/>
      </patternFill>
    </fill>
  </fills>
  <borders count="4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7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2" fontId="1" fillId="0" borderId="29" xfId="0" applyNumberFormat="1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78" fontId="1" fillId="0" borderId="29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2" fontId="1" fillId="2" borderId="30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9" fontId="1" fillId="0" borderId="31" xfId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10" fillId="0" borderId="0" xfId="0" applyFont="1" applyBorder="1" applyAlignment="1">
      <alignment vertical="center" wrapText="1" readingOrder="1"/>
    </xf>
    <xf numFmtId="0" fontId="11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 indent="1" readingOrder="1"/>
    </xf>
    <xf numFmtId="10" fontId="12" fillId="0" borderId="0" xfId="0" applyNumberFormat="1" applyFont="1" applyBorder="1" applyAlignment="1">
      <alignment horizontal="left" vertical="center" wrapText="1" indent="1" readingOrder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感應電動勢對距離的關係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xMode val="edge"/>
          <c:yMode val="edge"/>
          <c:x val="0.14674759405074367"/>
          <c:y val="0.17685185185185184"/>
          <c:w val="0.78225240594925638"/>
          <c:h val="0.61426727909011369"/>
        </c:manualLayout>
      </c:layout>
      <c:scatterChart>
        <c:scatterStyle val="lineMarker"/>
        <c:varyColors val="0"/>
        <c:ser>
          <c:idx val="0"/>
          <c:order val="0"/>
          <c:tx>
            <c:v>理論值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工作表1!$D$29:$I$29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工作表1!$D$31:$I$31</c:f>
              <c:numCache>
                <c:formatCode>0.00</c:formatCode>
                <c:ptCount val="6"/>
                <c:pt idx="0">
                  <c:v>18.244876583748674</c:v>
                </c:pt>
                <c:pt idx="1">
                  <c:v>17.259602781307994</c:v>
                </c:pt>
                <c:pt idx="2">
                  <c:v>14.778571717157632</c:v>
                </c:pt>
                <c:pt idx="3">
                  <c:v>11.770836646484369</c:v>
                </c:pt>
                <c:pt idx="4">
                  <c:v>8.9874074746002055</c:v>
                </c:pt>
                <c:pt idx="5">
                  <c:v>6.7385619478713279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9B-4E97-BC85-83E948C1DB2C}"/>
            </c:ext>
          </c:extLst>
        </c:ser>
        <c:ser>
          <c:idx val="1"/>
          <c:order val="1"/>
          <c:tx>
            <c:v>實驗值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工作表1!$D$29:$I$29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工作表1!$D$30:$I$30</c:f>
              <c:numCache>
                <c:formatCode>0.00</c:formatCode>
                <c:ptCount val="6"/>
                <c:pt idx="0">
                  <c:v>16.399999999999999</c:v>
                </c:pt>
                <c:pt idx="1">
                  <c:v>17.600000000000001</c:v>
                </c:pt>
                <c:pt idx="2">
                  <c:v>16</c:v>
                </c:pt>
                <c:pt idx="3">
                  <c:v>12</c:v>
                </c:pt>
                <c:pt idx="4">
                  <c:v>9.6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0-44C6-8136-27413A58D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368016"/>
        <c:axId val="1288346153"/>
      </c:scatterChart>
      <c:valAx>
        <c:axId val="130936801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距離</a:t>
                </a:r>
                <a:r>
                  <a:rPr lang="en-US"/>
                  <a:t>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8346153"/>
        <c:crosses val="autoZero"/>
        <c:crossBetween val="midCat"/>
      </c:valAx>
      <c:valAx>
        <c:axId val="12883461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感應電動勢</a:t>
                </a:r>
                <a:r>
                  <a:rPr lang="en-US"/>
                  <a:t>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93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感應電動勢對角度的關係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xMode val="edge"/>
          <c:yMode val="edge"/>
          <c:x val="0.14674759405074367"/>
          <c:y val="0.17685185185185184"/>
          <c:w val="0.78225240594925638"/>
          <c:h val="0.61426727909011369"/>
        </c:manualLayout>
      </c:layout>
      <c:scatterChart>
        <c:scatterStyle val="lineMarker"/>
        <c:varyColors val="0"/>
        <c:ser>
          <c:idx val="0"/>
          <c:order val="0"/>
          <c:tx>
            <c:v>理論值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工作表1!$D$40:$J$40</c:f>
              <c:numCache>
                <c:formatCode>0.000_ </c:formatCode>
                <c:ptCount val="7"/>
                <c:pt idx="0" formatCode="General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 formatCode="General">
                  <c:v>0</c:v>
                </c:pt>
              </c:numCache>
            </c:numRef>
          </c:xVal>
          <c:yVal>
            <c:numRef>
              <c:f>工作表1!$D$42:$J$42</c:f>
              <c:numCache>
                <c:formatCode>0.00</c:formatCode>
                <c:ptCount val="7"/>
                <c:pt idx="0">
                  <c:v>17.259602781307994</c:v>
                </c:pt>
                <c:pt idx="1">
                  <c:v>16.671496077956025</c:v>
                </c:pt>
                <c:pt idx="2">
                  <c:v>14.947254467841276</c:v>
                </c:pt>
                <c:pt idx="3">
                  <c:v>12.204382167249079</c:v>
                </c:pt>
                <c:pt idx="4">
                  <c:v>8.6298013906539985</c:v>
                </c:pt>
                <c:pt idx="5">
                  <c:v>4.4671139107069457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0A-47E0-B86D-4DE896364A53}"/>
            </c:ext>
          </c:extLst>
        </c:ser>
        <c:ser>
          <c:idx val="1"/>
          <c:order val="1"/>
          <c:tx>
            <c:v>實驗值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工作表1!$D$40:$J$40</c:f>
              <c:numCache>
                <c:formatCode>0.000_ </c:formatCode>
                <c:ptCount val="7"/>
                <c:pt idx="0" formatCode="General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 formatCode="General">
                  <c:v>0</c:v>
                </c:pt>
              </c:numCache>
            </c:numRef>
          </c:xVal>
          <c:yVal>
            <c:numRef>
              <c:f>工作表1!$D$41:$J$41</c:f>
              <c:numCache>
                <c:formatCode>0.00</c:formatCode>
                <c:ptCount val="7"/>
                <c:pt idx="0">
                  <c:v>17.600000000000001</c:v>
                </c:pt>
                <c:pt idx="1">
                  <c:v>16.8</c:v>
                </c:pt>
                <c:pt idx="2">
                  <c:v>15.2</c:v>
                </c:pt>
                <c:pt idx="3">
                  <c:v>12</c:v>
                </c:pt>
                <c:pt idx="4">
                  <c:v>8</c:v>
                </c:pt>
                <c:pt idx="5">
                  <c:v>4</c:v>
                </c:pt>
                <c:pt idx="6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A-43A2-B238-BEF9F669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721704"/>
        <c:axId val="394636286"/>
      </c:scatterChart>
      <c:valAx>
        <c:axId val="1444721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</a:t>
                </a:r>
                <a:r>
                  <a:rPr lang="el-GR"/>
                  <a:t>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4636286"/>
        <c:crosses val="autoZero"/>
        <c:crossBetween val="midCat"/>
      </c:valAx>
      <c:valAx>
        <c:axId val="394636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感應電動勢</a:t>
                </a:r>
                <a:r>
                  <a:rPr lang="en-US"/>
                  <a:t>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4721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baseline="0">
                <a:solidFill>
                  <a:srgbClr val="757575"/>
                </a:solidFill>
              </a:rPr>
              <a:t>感應電動勢對頻率的關係</a:t>
            </a:r>
            <a:r>
              <a:rPr lang="en-US" altLang="zh-TW" sz="1400" b="0" i="0" u="none" strike="noStrike" kern="1200" baseline="0">
                <a:solidFill>
                  <a:srgbClr val="757575"/>
                </a:solidFill>
              </a:rPr>
              <a:t>(2000</a:t>
            </a:r>
            <a:r>
              <a:rPr lang="zh-TW" altLang="en-US" sz="1400" b="0" i="0" u="none" strike="noStrike" kern="1200" baseline="0">
                <a:solidFill>
                  <a:srgbClr val="757575"/>
                </a:solidFill>
              </a:rPr>
              <a:t>匝</a:t>
            </a:r>
            <a:r>
              <a:rPr lang="en-US" altLang="zh-TW" sz="1400" b="0" i="0" u="none" strike="noStrike" kern="1200" baseline="0">
                <a:solidFill>
                  <a:srgbClr val="757575"/>
                </a:solidFill>
              </a:rPr>
              <a:t>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實驗值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工作表1!$D$19:$I$19</c:f>
              <c:numCache>
                <c:formatCode>General</c:formatCode>
                <c:ptCount val="6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</c:numCache>
            </c:numRef>
          </c:xVal>
          <c:yVal>
            <c:numRef>
              <c:f>工作表1!$D$20:$I$20</c:f>
              <c:numCache>
                <c:formatCode>0.00</c:formatCode>
                <c:ptCount val="6"/>
                <c:pt idx="0">
                  <c:v>9.6</c:v>
                </c:pt>
                <c:pt idx="1">
                  <c:v>12</c:v>
                </c:pt>
                <c:pt idx="2">
                  <c:v>12.8</c:v>
                </c:pt>
                <c:pt idx="3">
                  <c:v>15.2</c:v>
                </c:pt>
                <c:pt idx="4">
                  <c:v>16.8</c:v>
                </c:pt>
                <c:pt idx="5">
                  <c:v>16.399999999999999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B-4C14-8C3F-0C93D4FC7141}"/>
            </c:ext>
          </c:extLst>
        </c:ser>
        <c:ser>
          <c:idx val="1"/>
          <c:order val="1"/>
          <c:tx>
            <c:v>理論值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工作表1!$D$19:$I$19</c:f>
              <c:numCache>
                <c:formatCode>General</c:formatCode>
                <c:ptCount val="6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</c:numCache>
            </c:numRef>
          </c:xVal>
          <c:yVal>
            <c:numRef>
              <c:f>工作表1!$D$21:$I$21</c:f>
              <c:numCache>
                <c:formatCode>0.00</c:formatCode>
                <c:ptCount val="6"/>
                <c:pt idx="0">
                  <c:v>9.1224382918743299</c:v>
                </c:pt>
                <c:pt idx="1">
                  <c:v>10.946925950249199</c:v>
                </c:pt>
                <c:pt idx="2">
                  <c:v>12.771413608624064</c:v>
                </c:pt>
                <c:pt idx="3">
                  <c:v>14.595901266998931</c:v>
                </c:pt>
                <c:pt idx="4">
                  <c:v>16.4203889253738</c:v>
                </c:pt>
                <c:pt idx="5">
                  <c:v>18.24487658374866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B-4C14-8C3F-0C93D4FC7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67231"/>
        <c:axId val="199797247"/>
      </c:scatterChart>
      <c:valAx>
        <c:axId val="20006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頻率</a:t>
                </a:r>
                <a:r>
                  <a:rPr lang="en-US" altLang="zh-TW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Hz</a:t>
                </a:r>
                <a:endParaRPr lang="zh-TW" altLang="en-US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797247"/>
        <c:crosses val="autoZero"/>
        <c:crossBetween val="midCat"/>
      </c:valAx>
      <c:valAx>
        <c:axId val="19979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感應電動勢</a:t>
                </a:r>
                <a:r>
                  <a:rPr lang="en-US" altLang="zh-TW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mV</a:t>
                </a:r>
                <a:endParaRPr lang="zh-TW" altLang="en-US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06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baseline="0">
                <a:solidFill>
                  <a:srgbClr val="757575"/>
                </a:solidFill>
              </a:rPr>
              <a:t>感應電動勢對頻率的關係</a:t>
            </a:r>
            <a:r>
              <a:rPr lang="en-US" altLang="zh-TW" sz="1400" b="0" i="0" u="none" strike="noStrike" kern="1200" baseline="0">
                <a:solidFill>
                  <a:srgbClr val="757575"/>
                </a:solidFill>
              </a:rPr>
              <a:t>(400</a:t>
            </a:r>
            <a:r>
              <a:rPr lang="zh-TW" altLang="en-US" sz="1400" b="0" i="0" u="none" strike="noStrike" kern="1200" baseline="0">
                <a:solidFill>
                  <a:srgbClr val="757575"/>
                </a:solidFill>
              </a:rPr>
              <a:t>匝</a:t>
            </a:r>
            <a:r>
              <a:rPr lang="en-US" altLang="zh-TW" sz="1400" b="0" i="0" u="none" strike="noStrike" kern="1200" baseline="0">
                <a:solidFill>
                  <a:srgbClr val="757575"/>
                </a:solidFill>
              </a:rPr>
              <a:t>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實驗值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工作表1!$D$12:$H$12</c:f>
              <c:numCache>
                <c:formatCode>General</c:formatCode>
                <c:ptCount val="5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</c:numCache>
            </c:numRef>
          </c:xVal>
          <c:yVal>
            <c:numRef>
              <c:f>工作表1!$D$13:$I$13</c:f>
              <c:numCache>
                <c:formatCode>0.00</c:formatCode>
                <c:ptCount val="6"/>
                <c:pt idx="0">
                  <c:v>2.04</c:v>
                </c:pt>
                <c:pt idx="1">
                  <c:v>2.36</c:v>
                </c:pt>
                <c:pt idx="2">
                  <c:v>2.72</c:v>
                </c:pt>
                <c:pt idx="3">
                  <c:v>3.12</c:v>
                </c:pt>
                <c:pt idx="4">
                  <c:v>3.44</c:v>
                </c:pt>
                <c:pt idx="5">
                  <c:v>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6-4BDC-899C-66AA4F4726A0}"/>
            </c:ext>
          </c:extLst>
        </c:ser>
        <c:ser>
          <c:idx val="1"/>
          <c:order val="1"/>
          <c:tx>
            <c:v>理論值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工作表1!$D$12:$I$12</c:f>
              <c:numCache>
                <c:formatCode>General</c:formatCode>
                <c:ptCount val="6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</c:numCache>
            </c:numRef>
          </c:xVal>
          <c:yVal>
            <c:numRef>
              <c:f>工作表1!$D$14:$I$14</c:f>
              <c:numCache>
                <c:formatCode>0.00</c:formatCode>
                <c:ptCount val="6"/>
                <c:pt idx="0">
                  <c:v>1.8634277651413376</c:v>
                </c:pt>
                <c:pt idx="1">
                  <c:v>2.2361133181696049</c:v>
                </c:pt>
                <c:pt idx="2">
                  <c:v>2.6087988711978727</c:v>
                </c:pt>
                <c:pt idx="3">
                  <c:v>2.9814844242261405</c:v>
                </c:pt>
                <c:pt idx="4">
                  <c:v>3.3541699772544078</c:v>
                </c:pt>
                <c:pt idx="5">
                  <c:v>3.7268555302826751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66-4BDC-899C-66AA4F472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713776"/>
        <c:axId val="922709936"/>
      </c:scatterChart>
      <c:valAx>
        <c:axId val="92271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頻率</a:t>
                </a:r>
                <a:r>
                  <a:rPr lang="en-US" altLang="zh-TW"/>
                  <a:t>Hz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2709936"/>
        <c:crosses val="autoZero"/>
        <c:crossBetween val="midCat"/>
      </c:valAx>
      <c:valAx>
        <c:axId val="9227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感應電動勢</a:t>
                </a:r>
                <a:r>
                  <a:rPr lang="en-US" altLang="zh-TW"/>
                  <a:t>mV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2713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</xdr:colOff>
      <xdr:row>23</xdr:row>
      <xdr:rowOff>19050</xdr:rowOff>
    </xdr:from>
    <xdr:ext cx="4429125" cy="2705100"/>
    <xdr:graphicFrame macro="">
      <xdr:nvGraphicFramePr>
        <xdr:cNvPr id="1986912866" name="Chart 3">
          <a:extLst>
            <a:ext uri="{FF2B5EF4-FFF2-40B4-BE49-F238E27FC236}">
              <a16:creationId xmlns:a16="http://schemas.microsoft.com/office/drawing/2014/main" id="{00000000-0008-0000-0000-000062E26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66675</xdr:colOff>
      <xdr:row>34</xdr:row>
      <xdr:rowOff>95250</xdr:rowOff>
    </xdr:from>
    <xdr:ext cx="4429125" cy="2705100"/>
    <xdr:graphicFrame macro="">
      <xdr:nvGraphicFramePr>
        <xdr:cNvPr id="2130895131" name="Chart 4">
          <a:extLst>
            <a:ext uri="{FF2B5EF4-FFF2-40B4-BE49-F238E27FC236}">
              <a16:creationId xmlns:a16="http://schemas.microsoft.com/office/drawing/2014/main" id="{00000000-0008-0000-0000-00001BE10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9</xdr:col>
      <xdr:colOff>558800</xdr:colOff>
      <xdr:row>11</xdr:row>
      <xdr:rowOff>155575</xdr:rowOff>
    </xdr:from>
    <xdr:to>
      <xdr:col>17</xdr:col>
      <xdr:colOff>508000</xdr:colOff>
      <xdr:row>22</xdr:row>
      <xdr:rowOff>174625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9EE9E6C-E46F-513A-6175-C4869ED9F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571500</xdr:colOff>
      <xdr:row>0</xdr:row>
      <xdr:rowOff>0</xdr:rowOff>
    </xdr:from>
    <xdr:to>
      <xdr:col>17</xdr:col>
      <xdr:colOff>520700</xdr:colOff>
      <xdr:row>11</xdr:row>
      <xdr:rowOff>19050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080DF15-918F-B442-8E4E-B933845DF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7" zoomScale="85" zoomScaleNormal="85" workbookViewId="0">
      <selection activeCell="AB35" sqref="AA35:AB37"/>
    </sheetView>
  </sheetViews>
  <sheetFormatPr defaultColWidth="11.25" defaultRowHeight="15" customHeight="1"/>
  <cols>
    <col min="1" max="26" width="7.5820312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41" t="s">
        <v>0</v>
      </c>
      <c r="C3" s="43"/>
      <c r="D3" s="3" t="s">
        <v>1</v>
      </c>
      <c r="E3" s="44" t="s">
        <v>2</v>
      </c>
      <c r="F3" s="43"/>
      <c r="G3" s="44" t="s">
        <v>3</v>
      </c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>
        <v>1</v>
      </c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57">
        <v>0.10299999999999999</v>
      </c>
      <c r="C4" s="58"/>
      <c r="D4" s="19">
        <v>200</v>
      </c>
      <c r="E4" s="59">
        <v>3000</v>
      </c>
      <c r="F4" s="58"/>
      <c r="G4" s="60">
        <f>4*PI()*10^-7</f>
        <v>1.2566370614359173E-6</v>
      </c>
      <c r="H4" s="61"/>
      <c r="I4" s="1"/>
      <c r="J4" s="1"/>
      <c r="K4" s="1"/>
      <c r="L4" s="1"/>
      <c r="M4" s="1"/>
      <c r="N4" s="1"/>
      <c r="O4" s="1"/>
      <c r="P4" s="1"/>
      <c r="Q4" s="1"/>
      <c r="R4" s="1"/>
      <c r="S4" s="1">
        <v>1.2</v>
      </c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41" t="s">
        <v>4</v>
      </c>
      <c r="C5" s="42"/>
      <c r="D5" s="43"/>
      <c r="E5" s="62">
        <f t="array" aca="1" ref="E5" ca="1">17*PI()*0.000315^2*SUMPRODUCT(((0.01085/0.000315+ROW(INDIRECT(1&amp;":"&amp;24)))^2))</f>
        <v>0.2863790176072829</v>
      </c>
      <c r="F5" s="42"/>
      <c r="G5" s="42"/>
      <c r="H5" s="50"/>
      <c r="I5" s="1"/>
      <c r="J5" s="1"/>
      <c r="K5" s="1"/>
      <c r="L5" s="1"/>
      <c r="M5" s="1"/>
      <c r="N5" s="1"/>
      <c r="O5" s="1"/>
      <c r="P5" s="1"/>
      <c r="Q5" s="1"/>
      <c r="R5" s="1"/>
      <c r="S5" s="1">
        <v>1.4</v>
      </c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38" t="s">
        <v>5</v>
      </c>
      <c r="C6" s="45"/>
      <c r="D6" s="39"/>
      <c r="E6" s="63">
        <f t="array" aca="1" ref="E6" ca="1">34*PI()*0.00013*0.00013*SUMPRODUCT(((0.01085/0.00013+ROW(INDIRECT(1&amp;":"&amp;59)))^2))</f>
        <v>1.4019727327674971</v>
      </c>
      <c r="F6" s="45"/>
      <c r="G6" s="45"/>
      <c r="H6" s="64"/>
      <c r="I6" s="1"/>
      <c r="J6" s="1"/>
      <c r="K6" s="1"/>
      <c r="L6" s="1"/>
      <c r="M6" s="1"/>
      <c r="N6" s="1"/>
      <c r="O6" s="1"/>
      <c r="P6" s="1"/>
      <c r="Q6" s="1"/>
      <c r="R6" s="1"/>
      <c r="S6" s="1">
        <v>1.6</v>
      </c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1.8</v>
      </c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2</v>
      </c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51" t="s">
        <v>6</v>
      </c>
      <c r="C11" s="52"/>
      <c r="D11" s="53" t="s">
        <v>7</v>
      </c>
      <c r="E11" s="52"/>
      <c r="F11" s="53" t="s">
        <v>8</v>
      </c>
      <c r="G11" s="54"/>
      <c r="H11" s="52"/>
      <c r="I11" s="4">
        <v>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48" t="s">
        <v>9</v>
      </c>
      <c r="C12" s="49"/>
      <c r="D12" s="5">
        <v>1000</v>
      </c>
      <c r="E12" s="5">
        <v>1200</v>
      </c>
      <c r="F12" s="5">
        <v>1400</v>
      </c>
      <c r="G12" s="5">
        <v>1600</v>
      </c>
      <c r="H12" s="5">
        <v>1800</v>
      </c>
      <c r="I12" s="6">
        <v>2000</v>
      </c>
      <c r="J12" s="55" t="s">
        <v>10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36" t="s">
        <v>11</v>
      </c>
      <c r="C13" s="37"/>
      <c r="D13" s="17">
        <v>2.04</v>
      </c>
      <c r="E13" s="17">
        <v>2.36</v>
      </c>
      <c r="F13" s="17">
        <v>2.72</v>
      </c>
      <c r="G13" s="17">
        <v>3.12</v>
      </c>
      <c r="H13" s="17">
        <v>3.44</v>
      </c>
      <c r="I13" s="18">
        <v>3.84</v>
      </c>
      <c r="J13" s="5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36" t="s">
        <v>12</v>
      </c>
      <c r="C14" s="37"/>
      <c r="D14" s="7">
        <f ca="1">E5*D4*G4*D12*I11/E4/B4*1000</f>
        <v>1.8634277651413376</v>
      </c>
      <c r="E14" s="7">
        <f ca="1">E5*D4*G4*E12*I11/E4/B4*1000</f>
        <v>2.2361133181696049</v>
      </c>
      <c r="F14" s="7">
        <f ca="1">E5*D4*G4*F12*I11/E4/B4*1000</f>
        <v>2.6087988711978727</v>
      </c>
      <c r="G14" s="7">
        <f ca="1">E5*D4*G4*G12*I11/E4/B4*1000</f>
        <v>2.9814844242261405</v>
      </c>
      <c r="H14" s="7">
        <f ca="1">E5*D4*G4*H12*I11/E4/B4*1000</f>
        <v>3.3541699772544078</v>
      </c>
      <c r="I14" s="8">
        <f ca="1">E5*D4*G4*I12*I11/E4/B4*1000</f>
        <v>3.7268555302826751</v>
      </c>
      <c r="J14" s="5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38" t="s">
        <v>13</v>
      </c>
      <c r="C15" s="39"/>
      <c r="D15" s="20">
        <f t="shared" ref="D15:I15" ca="1" si="0">ABS((D13-D14)/D14)</f>
        <v>9.4756683442070416E-2</v>
      </c>
      <c r="E15" s="20">
        <f t="shared" ca="1" si="0"/>
        <v>5.5402685017682279E-2</v>
      </c>
      <c r="F15" s="20">
        <f t="shared" ca="1" si="0"/>
        <v>4.2625412801971851E-2</v>
      </c>
      <c r="G15" s="20">
        <f t="shared" ca="1" si="0"/>
        <v>4.6458594466684856E-2</v>
      </c>
      <c r="H15" s="20">
        <f t="shared" ca="1" si="0"/>
        <v>2.5589049847691156E-2</v>
      </c>
      <c r="I15" s="20">
        <f t="shared" ca="1" si="0"/>
        <v>3.0359231474889749E-2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51" t="s">
        <v>6</v>
      </c>
      <c r="C18" s="52"/>
      <c r="D18" s="53" t="s">
        <v>14</v>
      </c>
      <c r="E18" s="52"/>
      <c r="F18" s="53" t="s">
        <v>15</v>
      </c>
      <c r="G18" s="54"/>
      <c r="H18" s="52"/>
      <c r="I18" s="4">
        <v>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48" t="s">
        <v>9</v>
      </c>
      <c r="C19" s="49"/>
      <c r="D19" s="5">
        <v>1000</v>
      </c>
      <c r="E19" s="5">
        <v>1200</v>
      </c>
      <c r="F19" s="5">
        <v>1400</v>
      </c>
      <c r="G19" s="5">
        <v>1600</v>
      </c>
      <c r="H19" s="5">
        <v>1800</v>
      </c>
      <c r="I19" s="6">
        <v>2000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36" t="s">
        <v>16</v>
      </c>
      <c r="C20" s="37"/>
      <c r="D20" s="17">
        <v>9.6</v>
      </c>
      <c r="E20" s="17">
        <v>12</v>
      </c>
      <c r="F20" s="17">
        <v>12.8</v>
      </c>
      <c r="G20" s="17">
        <v>15.2</v>
      </c>
      <c r="H20" s="17">
        <v>16.8</v>
      </c>
      <c r="I20" s="18">
        <v>16.399999999999999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36" t="s">
        <v>17</v>
      </c>
      <c r="C21" s="37"/>
      <c r="D21" s="7">
        <f ca="1">E6*D4*G4*D19*I18/E4/B4*1000</f>
        <v>9.1224382918743299</v>
      </c>
      <c r="E21" s="7">
        <f ca="1">E6*D4*G4*E19*I18/E4/B4*1000</f>
        <v>10.946925950249199</v>
      </c>
      <c r="F21" s="7">
        <f ca="1">E6*D4*G4*F19*I18/E4/B4*1000</f>
        <v>12.771413608624064</v>
      </c>
      <c r="G21" s="7">
        <f ca="1">E6*D4*G4*G19*I18/E4/B4*1000</f>
        <v>14.595901266998931</v>
      </c>
      <c r="H21" s="7">
        <f ca="1">E6*D4*G4*H19*I18/E4/B4*1000</f>
        <v>16.4203889253738</v>
      </c>
      <c r="I21" s="8">
        <f ca="1">E6*D4*G4*I19*I18/E4/B4*1000</f>
        <v>18.24487658374866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38" t="s">
        <v>13</v>
      </c>
      <c r="C22" s="39"/>
      <c r="D22" s="20">
        <f t="shared" ref="D22:I22" ca="1" si="1">ABS((D20-D21)/D21)</f>
        <v>5.2350226205536567E-2</v>
      </c>
      <c r="E22" s="20">
        <f t="shared" ca="1" si="1"/>
        <v>9.6198152297433684E-2</v>
      </c>
      <c r="F22" s="20">
        <f t="shared" ca="1" si="1"/>
        <v>2.238310671939513E-3</v>
      </c>
      <c r="G22" s="20">
        <f t="shared" ca="1" si="1"/>
        <v>4.1388244682561991E-2</v>
      </c>
      <c r="H22" s="20">
        <f t="shared" ca="1" si="1"/>
        <v>2.3118275477604699E-2</v>
      </c>
      <c r="I22" s="20">
        <f t="shared" ca="1" si="1"/>
        <v>0.10111751511610423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41" t="s">
        <v>6</v>
      </c>
      <c r="C27" s="42"/>
      <c r="D27" s="42"/>
      <c r="E27" s="43"/>
      <c r="F27" s="44" t="s">
        <v>14</v>
      </c>
      <c r="G27" s="42"/>
      <c r="H27" s="42"/>
      <c r="I27" s="5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38" t="s">
        <v>18</v>
      </c>
      <c r="C28" s="45"/>
      <c r="D28" s="39"/>
      <c r="E28" s="10">
        <v>2000</v>
      </c>
      <c r="F28" s="46" t="s">
        <v>19</v>
      </c>
      <c r="G28" s="45"/>
      <c r="H28" s="39"/>
      <c r="I28" s="11">
        <v>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thickTop="1">
      <c r="A29" s="1"/>
      <c r="B29" s="48" t="s">
        <v>20</v>
      </c>
      <c r="C29" s="49"/>
      <c r="D29" s="5">
        <v>0</v>
      </c>
      <c r="E29" s="5">
        <v>2</v>
      </c>
      <c r="F29" s="5">
        <v>4</v>
      </c>
      <c r="G29" s="5">
        <v>6</v>
      </c>
      <c r="H29" s="5">
        <v>8</v>
      </c>
      <c r="I29" s="6">
        <v>10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67"/>
      <c r="W29" s="67"/>
      <c r="X29" s="67"/>
      <c r="Y29" s="1"/>
      <c r="Z29" s="1"/>
    </row>
    <row r="30" spans="1:26" ht="19.5" customHeight="1">
      <c r="A30" s="1"/>
      <c r="B30" s="36" t="s">
        <v>21</v>
      </c>
      <c r="C30" s="37"/>
      <c r="D30" s="17">
        <v>16.399999999999999</v>
      </c>
      <c r="E30" s="17">
        <v>17.600000000000001</v>
      </c>
      <c r="F30" s="17">
        <v>16</v>
      </c>
      <c r="G30" s="17">
        <v>12</v>
      </c>
      <c r="H30" s="17">
        <v>9.6</v>
      </c>
      <c r="I30" s="18">
        <v>6.8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68"/>
      <c r="W30" s="68"/>
      <c r="X30" s="65"/>
      <c r="Y30" s="1"/>
      <c r="Z30" s="1"/>
    </row>
    <row r="31" spans="1:26" ht="19.5" customHeight="1">
      <c r="A31" s="1"/>
      <c r="B31" s="36" t="s">
        <v>22</v>
      </c>
      <c r="C31" s="37"/>
      <c r="D31" s="7">
        <f ca="1">E6*D4*G4*E28*I28*B4^2/(B4^2)^1.5/E4*1000</f>
        <v>18.244876583748674</v>
      </c>
      <c r="E31" s="7">
        <f ca="1">E6*D4*G4*E28*I28*B4^2/(B4^2+E29^2*10^-4)^1.5/E4*1000</f>
        <v>17.259602781307994</v>
      </c>
      <c r="F31" s="7">
        <f ca="1">E6*D4*G4*E28*I28*B4^2/(B4^2+F29^2*10^-4)^1.5/E4*1000</f>
        <v>14.778571717157632</v>
      </c>
      <c r="G31" s="7">
        <f ca="1">E6*D4*G4*E28*I28*B4^2/(B4^2+G29^2*10^-4)^1.5/E4*1000</f>
        <v>11.770836646484369</v>
      </c>
      <c r="H31" s="7">
        <f ca="1">E6*D4*G4*E28*I28*B4^2/(B4^2+H29^2*10^-4)^1.5/E4*1000</f>
        <v>8.9874074746002055</v>
      </c>
      <c r="I31" s="8">
        <f ca="1">E6*D4*G4*E28*I28*B4^2/(B4^2+I29^2*10^-4)^1.5/E4*1000</f>
        <v>6.7385619478713279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68"/>
      <c r="W31" s="69"/>
      <c r="X31" s="65"/>
      <c r="Y31" s="1"/>
      <c r="Z31" s="1"/>
    </row>
    <row r="32" spans="1:26" ht="19.5" customHeight="1" thickBot="1">
      <c r="A32" s="1"/>
      <c r="B32" s="38" t="s">
        <v>13</v>
      </c>
      <c r="C32" s="39"/>
      <c r="D32" s="20">
        <f t="shared" ref="D32:I32" ca="1" si="2">ABS((D30-D31)/D31)</f>
        <v>0.10111751511610492</v>
      </c>
      <c r="E32" s="20">
        <f t="shared" ca="1" si="2"/>
        <v>1.9722193088977415E-2</v>
      </c>
      <c r="F32" s="20">
        <f t="shared" ca="1" si="2"/>
        <v>8.2648601381709527E-2</v>
      </c>
      <c r="G32" s="20">
        <f t="shared" ca="1" si="2"/>
        <v>1.9468739597543874E-2</v>
      </c>
      <c r="H32" s="20">
        <f t="shared" ca="1" si="2"/>
        <v>6.8161205234220743E-2</v>
      </c>
      <c r="I32" s="20">
        <f t="shared" ca="1" si="2"/>
        <v>9.1173832939355631E-3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68"/>
      <c r="W32" s="69"/>
      <c r="X32" s="65"/>
      <c r="Y32" s="1"/>
      <c r="Z32" s="1"/>
    </row>
    <row r="33" spans="1:26" ht="19.5" customHeight="1" thickTop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68"/>
      <c r="W33" s="69"/>
      <c r="X33" s="66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67"/>
      <c r="W34" s="67"/>
      <c r="X34" s="67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67"/>
      <c r="W35" s="67"/>
      <c r="X35" s="67"/>
      <c r="Y35" s="1"/>
      <c r="Z35" s="1"/>
    </row>
    <row r="36" spans="1:26" ht="19.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67"/>
      <c r="W36" s="67"/>
      <c r="X36" s="67"/>
      <c r="Y36" s="1"/>
      <c r="Z36" s="1"/>
    </row>
    <row r="37" spans="1:26" ht="19.5" customHeight="1">
      <c r="A37" s="1"/>
      <c r="B37" s="41" t="s">
        <v>6</v>
      </c>
      <c r="C37" s="42"/>
      <c r="D37" s="43"/>
      <c r="E37" s="44" t="s">
        <v>14</v>
      </c>
      <c r="F37" s="42"/>
      <c r="G37" s="43"/>
      <c r="H37" s="44" t="s">
        <v>23</v>
      </c>
      <c r="I37" s="43"/>
      <c r="J37" s="12">
        <v>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38" t="s">
        <v>18</v>
      </c>
      <c r="C38" s="45"/>
      <c r="D38" s="39"/>
      <c r="E38" s="10">
        <v>2000</v>
      </c>
      <c r="F38" s="46" t="s">
        <v>24</v>
      </c>
      <c r="G38" s="45"/>
      <c r="H38" s="45"/>
      <c r="I38" s="39"/>
      <c r="J38" s="11">
        <v>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47" t="s">
        <v>25</v>
      </c>
      <c r="C39" s="43"/>
      <c r="D39" s="3">
        <v>0</v>
      </c>
      <c r="E39" s="3">
        <v>15</v>
      </c>
      <c r="F39" s="3">
        <v>30</v>
      </c>
      <c r="G39" s="3">
        <v>45</v>
      </c>
      <c r="H39" s="3">
        <v>60</v>
      </c>
      <c r="I39" s="3">
        <v>75</v>
      </c>
      <c r="J39" s="12">
        <v>90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36" t="s">
        <v>26</v>
      </c>
      <c r="C40" s="37"/>
      <c r="D40" s="13">
        <f t="shared" ref="D40:I40" si="3">COS(RADIANS(D39))</f>
        <v>1</v>
      </c>
      <c r="E40" s="14">
        <f t="shared" si="3"/>
        <v>0.96592582628906831</v>
      </c>
      <c r="F40" s="14">
        <f t="shared" si="3"/>
        <v>0.86602540378443871</v>
      </c>
      <c r="G40" s="14">
        <f t="shared" si="3"/>
        <v>0.70710678118654757</v>
      </c>
      <c r="H40" s="14">
        <f t="shared" si="3"/>
        <v>0.50000000000000011</v>
      </c>
      <c r="I40" s="14">
        <f t="shared" si="3"/>
        <v>0.25881904510252074</v>
      </c>
      <c r="J40" s="15"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1"/>
      <c r="B41" s="36" t="s">
        <v>27</v>
      </c>
      <c r="C41" s="37"/>
      <c r="D41" s="17">
        <v>17.600000000000001</v>
      </c>
      <c r="E41" s="17">
        <v>16.8</v>
      </c>
      <c r="F41" s="17">
        <v>15.2</v>
      </c>
      <c r="G41" s="17">
        <v>12</v>
      </c>
      <c r="H41" s="17">
        <v>8</v>
      </c>
      <c r="I41" s="17">
        <v>4</v>
      </c>
      <c r="J41" s="18">
        <v>1.6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1"/>
      <c r="B42" s="36" t="s">
        <v>28</v>
      </c>
      <c r="C42" s="37"/>
      <c r="D42" s="7">
        <f ca="1">E6*D4*G4*E38*J38*B4^2/(B4^2+J37^2*10^-4)^1.5/E4*1000*D40</f>
        <v>17.259602781307994</v>
      </c>
      <c r="E42" s="7">
        <f ca="1">E6*D4*G4*E38*J38*B4^2/(B4^2+J37^2*10^-4)^1.5/E4*1000*E40</f>
        <v>16.671496077956025</v>
      </c>
      <c r="F42" s="7">
        <f ca="1">E6*D4*G4*E38*J38*B4^2/(B4^2+J37^2*10^-4)^1.5/E4*1000*F40</f>
        <v>14.947254467841276</v>
      </c>
      <c r="G42" s="7">
        <f ca="1">E6*D4*G4*E38*J38*B4^2/(B4^2+J37^2*10^-4)^1.5/E4*1000*G40</f>
        <v>12.204382167249079</v>
      </c>
      <c r="H42" s="7">
        <f ca="1">E6*D4*G4*E38*J38*B4^2/(B4^2+J37^2*10^-4)^1.5/E4*1000*H40</f>
        <v>8.6298013906539985</v>
      </c>
      <c r="I42" s="7">
        <f ca="1">E6*D4*G4*E38*J38*B4^2/(B4^2+J37^2*10^-4)^1.5/E4*1000*I40</f>
        <v>4.4671139107069457</v>
      </c>
      <c r="J42" s="8">
        <f ca="1">E6*D4*G4*E38*J38*B4^2/(B4^2+J37^2*10^-4)^1.5/E4*1000*J40</f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1"/>
      <c r="B43" s="38" t="s">
        <v>13</v>
      </c>
      <c r="C43" s="39"/>
      <c r="D43" s="20">
        <f t="shared" ref="D43:I43" ca="1" si="4">ABS((D41-D42)/D42)</f>
        <v>1.9722193088977415E-2</v>
      </c>
      <c r="E43" s="20">
        <f t="shared" ca="1" si="4"/>
        <v>7.7080018159792294E-3</v>
      </c>
      <c r="F43" s="20">
        <f t="shared" ca="1" si="4"/>
        <v>1.690916099023405E-2</v>
      </c>
      <c r="G43" s="20">
        <f t="shared" ca="1" si="4"/>
        <v>1.6746621373226626E-2</v>
      </c>
      <c r="H43" s="20">
        <f t="shared" ca="1" si="4"/>
        <v>7.2979824464566245E-2</v>
      </c>
      <c r="I43" s="20">
        <f t="shared" ca="1" si="4"/>
        <v>0.10456727095929871</v>
      </c>
      <c r="J43" s="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1"/>
      <c r="B48" s="41" t="s">
        <v>14</v>
      </c>
      <c r="C48" s="42"/>
      <c r="D48" s="42"/>
      <c r="E48" s="43"/>
      <c r="F48" s="44" t="s">
        <v>23</v>
      </c>
      <c r="G48" s="42"/>
      <c r="H48" s="42"/>
      <c r="I48" s="43"/>
      <c r="J48" s="12">
        <v>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1"/>
      <c r="B49" s="38" t="s">
        <v>18</v>
      </c>
      <c r="C49" s="45"/>
      <c r="D49" s="39"/>
      <c r="E49" s="10">
        <v>2000</v>
      </c>
      <c r="F49" s="46" t="s">
        <v>29</v>
      </c>
      <c r="G49" s="45"/>
      <c r="H49" s="45"/>
      <c r="I49" s="39"/>
      <c r="J49" s="11">
        <v>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1"/>
      <c r="B50" s="16" t="s">
        <v>30</v>
      </c>
      <c r="C50" s="44" t="s">
        <v>31</v>
      </c>
      <c r="D50" s="42"/>
      <c r="E50" s="42"/>
      <c r="F50" s="43"/>
      <c r="G50" s="44" t="s">
        <v>32</v>
      </c>
      <c r="H50" s="42"/>
      <c r="I50" s="42"/>
      <c r="J50" s="5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33" t="s">
        <v>33</v>
      </c>
      <c r="C51" s="21" t="s">
        <v>34</v>
      </c>
      <c r="D51" s="22"/>
      <c r="E51" s="22"/>
      <c r="F51" s="22"/>
      <c r="G51" s="22"/>
      <c r="H51" s="22"/>
      <c r="I51" s="22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34"/>
      <c r="C52" s="24"/>
      <c r="D52" s="25"/>
      <c r="E52" s="25"/>
      <c r="F52" s="25"/>
      <c r="G52" s="25"/>
      <c r="H52" s="25"/>
      <c r="I52" s="25"/>
      <c r="J52" s="2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34"/>
      <c r="C53" s="24"/>
      <c r="D53" s="25"/>
      <c r="E53" s="25"/>
      <c r="F53" s="25"/>
      <c r="G53" s="25"/>
      <c r="H53" s="25"/>
      <c r="I53" s="25"/>
      <c r="J53" s="2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34"/>
      <c r="C54" s="24"/>
      <c r="D54" s="25"/>
      <c r="E54" s="25"/>
      <c r="F54" s="25"/>
      <c r="G54" s="25"/>
      <c r="H54" s="25"/>
      <c r="I54" s="25"/>
      <c r="J54" s="2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34"/>
      <c r="C55" s="24"/>
      <c r="D55" s="25"/>
      <c r="E55" s="25"/>
      <c r="F55" s="25"/>
      <c r="G55" s="25"/>
      <c r="H55" s="25"/>
      <c r="I55" s="25"/>
      <c r="J55" s="2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40"/>
      <c r="C56" s="27"/>
      <c r="D56" s="28"/>
      <c r="E56" s="28"/>
      <c r="F56" s="28"/>
      <c r="G56" s="28"/>
      <c r="H56" s="28"/>
      <c r="I56" s="28"/>
      <c r="J56" s="2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33" t="s">
        <v>35</v>
      </c>
      <c r="C57" s="21" t="s">
        <v>34</v>
      </c>
      <c r="D57" s="22"/>
      <c r="E57" s="22"/>
      <c r="F57" s="22"/>
      <c r="G57" s="22"/>
      <c r="H57" s="22"/>
      <c r="I57" s="22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34"/>
      <c r="C58" s="24"/>
      <c r="D58" s="25"/>
      <c r="E58" s="25"/>
      <c r="F58" s="25"/>
      <c r="G58" s="25"/>
      <c r="H58" s="25"/>
      <c r="I58" s="25"/>
      <c r="J58" s="2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34"/>
      <c r="C59" s="24"/>
      <c r="D59" s="25"/>
      <c r="E59" s="25"/>
      <c r="F59" s="25"/>
      <c r="G59" s="25"/>
      <c r="H59" s="25"/>
      <c r="I59" s="25"/>
      <c r="J59" s="2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34"/>
      <c r="C60" s="24"/>
      <c r="D60" s="25"/>
      <c r="E60" s="25"/>
      <c r="F60" s="25"/>
      <c r="G60" s="25"/>
      <c r="H60" s="25"/>
      <c r="I60" s="25"/>
      <c r="J60" s="2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34"/>
      <c r="C61" s="24"/>
      <c r="D61" s="25"/>
      <c r="E61" s="25"/>
      <c r="F61" s="25"/>
      <c r="G61" s="25"/>
      <c r="H61" s="25"/>
      <c r="I61" s="25"/>
      <c r="J61" s="2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40"/>
      <c r="C62" s="27"/>
      <c r="D62" s="28"/>
      <c r="E62" s="28"/>
      <c r="F62" s="28"/>
      <c r="G62" s="28"/>
      <c r="H62" s="28"/>
      <c r="I62" s="28"/>
      <c r="J62" s="2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33" t="s">
        <v>36</v>
      </c>
      <c r="C63" s="21" t="s">
        <v>34</v>
      </c>
      <c r="D63" s="22"/>
      <c r="E63" s="22"/>
      <c r="F63" s="22"/>
      <c r="G63" s="22"/>
      <c r="H63" s="22"/>
      <c r="I63" s="22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34"/>
      <c r="C64" s="24"/>
      <c r="D64" s="25"/>
      <c r="E64" s="25"/>
      <c r="F64" s="25"/>
      <c r="G64" s="25"/>
      <c r="H64" s="25"/>
      <c r="I64" s="25"/>
      <c r="J64" s="2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34"/>
      <c r="C65" s="24"/>
      <c r="D65" s="25"/>
      <c r="E65" s="25"/>
      <c r="F65" s="25"/>
      <c r="G65" s="25"/>
      <c r="H65" s="25"/>
      <c r="I65" s="25"/>
      <c r="J65" s="2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34"/>
      <c r="C66" s="24"/>
      <c r="D66" s="25"/>
      <c r="E66" s="25"/>
      <c r="F66" s="25"/>
      <c r="G66" s="25"/>
      <c r="H66" s="25"/>
      <c r="I66" s="25"/>
      <c r="J66" s="2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34"/>
      <c r="C67" s="24"/>
      <c r="D67" s="25"/>
      <c r="E67" s="25"/>
      <c r="F67" s="25"/>
      <c r="G67" s="25"/>
      <c r="H67" s="25"/>
      <c r="I67" s="25"/>
      <c r="J67" s="2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thickBot="1">
      <c r="A68" s="1"/>
      <c r="B68" s="35"/>
      <c r="C68" s="30"/>
      <c r="D68" s="31"/>
      <c r="E68" s="31"/>
      <c r="F68" s="31"/>
      <c r="G68" s="31"/>
      <c r="H68" s="31"/>
      <c r="I68" s="31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thickTop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5">
    <mergeCell ref="E5:H5"/>
    <mergeCell ref="E6:H6"/>
    <mergeCell ref="B5:D5"/>
    <mergeCell ref="B6:D6"/>
    <mergeCell ref="B11:C11"/>
    <mergeCell ref="D11:E11"/>
    <mergeCell ref="F11:H11"/>
    <mergeCell ref="B3:C3"/>
    <mergeCell ref="E3:F3"/>
    <mergeCell ref="G3:H3"/>
    <mergeCell ref="B4:C4"/>
    <mergeCell ref="E4:F4"/>
    <mergeCell ref="G4:H4"/>
    <mergeCell ref="B12:C12"/>
    <mergeCell ref="J12:J14"/>
    <mergeCell ref="B13:C13"/>
    <mergeCell ref="B14:C14"/>
    <mergeCell ref="B15:C15"/>
    <mergeCell ref="B18:C18"/>
    <mergeCell ref="D18:E18"/>
    <mergeCell ref="F18:H18"/>
    <mergeCell ref="B19:C19"/>
    <mergeCell ref="B20:C20"/>
    <mergeCell ref="B21:C21"/>
    <mergeCell ref="B22:C22"/>
    <mergeCell ref="B27:E27"/>
    <mergeCell ref="F27:I27"/>
    <mergeCell ref="B28:D28"/>
    <mergeCell ref="F28:H28"/>
    <mergeCell ref="B29:C29"/>
    <mergeCell ref="B30:C30"/>
    <mergeCell ref="B31:C31"/>
    <mergeCell ref="B32:C32"/>
    <mergeCell ref="B37:D37"/>
    <mergeCell ref="E37:G37"/>
    <mergeCell ref="H37:I37"/>
    <mergeCell ref="B38:D38"/>
    <mergeCell ref="F38:I38"/>
    <mergeCell ref="B39:C39"/>
    <mergeCell ref="C51:J56"/>
    <mergeCell ref="C57:J62"/>
    <mergeCell ref="C63:J68"/>
    <mergeCell ref="B63:B68"/>
    <mergeCell ref="B40:C40"/>
    <mergeCell ref="B41:C41"/>
    <mergeCell ref="B42:C42"/>
    <mergeCell ref="B43:C43"/>
    <mergeCell ref="B57:B62"/>
    <mergeCell ref="B48:E48"/>
    <mergeCell ref="F48:I48"/>
    <mergeCell ref="B49:D49"/>
    <mergeCell ref="F49:I49"/>
    <mergeCell ref="C50:F50"/>
    <mergeCell ref="G50:J50"/>
    <mergeCell ref="B51:B56"/>
  </mergeCells>
  <phoneticPr fontId="8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楊善筑</dc:creator>
  <cp:lastModifiedBy>asa_wang</cp:lastModifiedBy>
  <dcterms:created xsi:type="dcterms:W3CDTF">2024-03-17T08:47:10Z</dcterms:created>
  <dcterms:modified xsi:type="dcterms:W3CDTF">2026-03-29T23:39:31Z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0x01010023B2DBBAF77F8440A911E5765A2CAC58</vt:lpwstr>
  </property>
</Properties>
</file>