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成大\普物實驗\彈簧縱波的駐波實驗\"/>
    </mc:Choice>
  </mc:AlternateContent>
  <xr:revisionPtr revIDLastSave="0" documentId="8_{78172926-7A4E-4831-8DB0-9EA31B9B01AD}" xr6:coauthVersionLast="47" xr6:coauthVersionMax="47" xr10:uidLastSave="{00000000-0000-0000-0000-000000000000}"/>
  <bookViews>
    <workbookView xWindow="-120" yWindow="-120" windowWidth="20730" windowHeight="11040" xr2:uid="{0AD9971D-F77E-47C8-B214-987D63DAD388}"/>
  </bookViews>
  <sheets>
    <sheet name="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M14" i="1"/>
  <c r="L14" i="1"/>
  <c r="K14" i="1"/>
  <c r="J14" i="1"/>
  <c r="I14" i="1"/>
  <c r="F7" i="1"/>
  <c r="E7" i="1"/>
  <c r="D7" i="1"/>
  <c r="C7" i="1"/>
  <c r="B7" i="1"/>
  <c r="I7" i="1"/>
  <c r="M7" i="1"/>
  <c r="L7" i="1"/>
  <c r="K7" i="1"/>
  <c r="J7" i="1"/>
  <c r="I6" i="1"/>
  <c r="K13" i="1"/>
  <c r="I13" i="1"/>
  <c r="M13" i="1"/>
  <c r="L13" i="1"/>
  <c r="J13" i="1"/>
  <c r="J6" i="1"/>
  <c r="M6" i="1"/>
  <c r="L6" i="1"/>
  <c r="K6" i="1"/>
  <c r="B8" i="1" l="1"/>
  <c r="D8" i="1" s="1"/>
  <c r="B15" i="1"/>
  <c r="D15" i="1" s="1"/>
</calcChain>
</file>

<file path=xl/sharedStrings.xml><?xml version="1.0" encoding="utf-8"?>
<sst xmlns="http://schemas.openxmlformats.org/spreadsheetml/2006/main" count="33" uniqueCount="17">
  <si>
    <t>彈簧A</t>
    <phoneticPr fontId="1" type="noConversion"/>
  </si>
  <si>
    <t>L(m)</t>
    <phoneticPr fontId="1" type="noConversion"/>
  </si>
  <si>
    <t>彈性係數k</t>
    <phoneticPr fontId="1" type="noConversion"/>
  </si>
  <si>
    <r>
      <t>L</t>
    </r>
    <r>
      <rPr>
        <vertAlign val="subscript"/>
        <sz val="12"/>
        <color theme="1"/>
        <rFont val="標楷體"/>
        <family val="4"/>
        <charset val="136"/>
      </rPr>
      <t>4</t>
    </r>
    <r>
      <rPr>
        <sz val="12"/>
        <color theme="1"/>
        <rFont val="標楷體"/>
        <family val="4"/>
        <charset val="136"/>
      </rPr>
      <t>(m)</t>
    </r>
    <phoneticPr fontId="1" type="noConversion"/>
  </si>
  <si>
    <t>L/λ</t>
    <phoneticPr fontId="1" type="noConversion"/>
  </si>
  <si>
    <r>
      <t>L/</t>
    </r>
    <r>
      <rPr>
        <sz val="12"/>
        <color theme="1"/>
        <rFont val="Calibri"/>
        <family val="4"/>
        <charset val="161"/>
      </rPr>
      <t>λ</t>
    </r>
    <r>
      <rPr>
        <sz val="12"/>
        <color theme="1"/>
        <rFont val="標楷體"/>
        <family val="4"/>
        <charset val="136"/>
      </rPr>
      <t>平均值</t>
    </r>
    <phoneticPr fontId="1" type="noConversion"/>
  </si>
  <si>
    <t xml:space="preserve">彈簧質量M(kg) = </t>
    <phoneticPr fontId="1" type="noConversion"/>
  </si>
  <si>
    <t>頻率f(Hz) =</t>
    <phoneticPr fontId="1" type="noConversion"/>
  </si>
  <si>
    <t>彈簧B</t>
    <phoneticPr fontId="1" type="noConversion"/>
  </si>
  <si>
    <t>A</t>
    <phoneticPr fontId="1" type="noConversion"/>
  </si>
  <si>
    <t>B</t>
    <phoneticPr fontId="1" type="noConversion"/>
  </si>
  <si>
    <t>掛重(g)</t>
    <phoneticPr fontId="1" type="noConversion"/>
  </si>
  <si>
    <t>伸長量(cm)</t>
    <phoneticPr fontId="1" type="noConversion"/>
  </si>
  <si>
    <t>kg/m</t>
    <phoneticPr fontId="1" type="noConversion"/>
  </si>
  <si>
    <r>
      <t>L</t>
    </r>
    <r>
      <rPr>
        <vertAlign val="subscript"/>
        <sz val="12"/>
        <color theme="1"/>
        <rFont val="標楷體"/>
        <family val="4"/>
        <charset val="136"/>
      </rPr>
      <t>13</t>
    </r>
    <r>
      <rPr>
        <sz val="12"/>
        <color theme="1"/>
        <rFont val="標楷體"/>
        <family val="4"/>
        <charset val="136"/>
      </rPr>
      <t>(m)</t>
    </r>
    <phoneticPr fontId="1" type="noConversion"/>
  </si>
  <si>
    <t>F(N)</t>
    <phoneticPr fontId="1" type="noConversion"/>
  </si>
  <si>
    <t>原長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</si>
</sst>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vertAlign val="subscript"/>
      <sz val="12"/>
      <color theme="1"/>
      <name val="標楷體"/>
      <family val="4"/>
      <charset val="136"/>
    </font>
    <font>
      <sz val="12"/>
      <color theme="1"/>
      <name val="Calibri"/>
      <family val="4"/>
      <charset val="16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1" xfId="0" applyFont="1" applyFill="1" applyBorder="1">
      <alignment vertical="center"/>
    </xf>
    <xf numFmtId="0" fontId="2" fillId="0" borderId="4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0138560804899389"/>
                  <c:y val="-5.283245844269466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A!$I$7:$M$7</c:f>
              <c:numCache>
                <c:formatCode>General</c:formatCode>
                <c:ptCount val="5"/>
                <c:pt idx="0">
                  <c:v>0.13</c:v>
                </c:pt>
                <c:pt idx="1">
                  <c:v>0.18</c:v>
                </c:pt>
                <c:pt idx="2">
                  <c:v>0.24</c:v>
                </c:pt>
                <c:pt idx="3">
                  <c:v>0.28999999999999998</c:v>
                </c:pt>
                <c:pt idx="4">
                  <c:v>0.34500000000000003</c:v>
                </c:pt>
              </c:numCache>
            </c:numRef>
          </c:xVal>
          <c:yVal>
            <c:numRef>
              <c:f>A!$I$6:$M$6</c:f>
              <c:numCache>
                <c:formatCode>General</c:formatCode>
                <c:ptCount val="5"/>
                <c:pt idx="0">
                  <c:v>1.47</c:v>
                </c:pt>
                <c:pt idx="1">
                  <c:v>1.9600000000000002</c:v>
                </c:pt>
                <c:pt idx="2">
                  <c:v>2.4500000000000002</c:v>
                </c:pt>
                <c:pt idx="3">
                  <c:v>2.94</c:v>
                </c:pt>
                <c:pt idx="4">
                  <c:v>3.4300000000000006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0F-4B00-B668-28CB3A9A9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241376"/>
        <c:axId val="859247616"/>
      </c:scatterChart>
      <c:valAx>
        <c:axId val="85924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伸長量</a:t>
                </a:r>
                <a:r>
                  <a:rPr lang="en-US" altLang="zh-TW"/>
                  <a:t>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9247616"/>
        <c:crosses val="autoZero"/>
        <c:crossBetween val="midCat"/>
      </c:valAx>
      <c:valAx>
        <c:axId val="85924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924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b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A!$I$14:$M$14</c:f>
              <c:numCache>
                <c:formatCode>General</c:formatCode>
                <c:ptCount val="5"/>
                <c:pt idx="0">
                  <c:v>0.115</c:v>
                </c:pt>
                <c:pt idx="1">
                  <c:v>0.23500000000000001</c:v>
                </c:pt>
                <c:pt idx="2">
                  <c:v>0.35000000000000003</c:v>
                </c:pt>
                <c:pt idx="3">
                  <c:v>0.47000000000000003</c:v>
                </c:pt>
                <c:pt idx="4">
                  <c:v>0.57999999999999996</c:v>
                </c:pt>
              </c:numCache>
            </c:numRef>
          </c:xVal>
          <c:yVal>
            <c:numRef>
              <c:f>A!$I$13:$M$13</c:f>
              <c:numCache>
                <c:formatCode>General</c:formatCode>
                <c:ptCount val="5"/>
                <c:pt idx="0">
                  <c:v>9.8000000000000004E-2</c:v>
                </c:pt>
                <c:pt idx="1">
                  <c:v>0.19600000000000001</c:v>
                </c:pt>
                <c:pt idx="2">
                  <c:v>0.29399999999999998</c:v>
                </c:pt>
                <c:pt idx="3">
                  <c:v>0.39200000000000002</c:v>
                </c:pt>
                <c:pt idx="4">
                  <c:v>0.49000000000000005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6-4AB3-BDFA-A62328473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870192"/>
        <c:axId val="1282878832"/>
      </c:scatterChart>
      <c:valAx>
        <c:axId val="128287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伸長量</a:t>
                </a:r>
                <a:r>
                  <a:rPr lang="en-US" altLang="zh-TW"/>
                  <a:t>(m)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82878832"/>
        <c:crosses val="autoZero"/>
        <c:crossBetween val="midCat"/>
      </c:valAx>
      <c:valAx>
        <c:axId val="128287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8287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133350</xdr:colOff>
      <xdr:row>2</xdr:row>
      <xdr:rowOff>104775</xdr:rowOff>
    </xdr:from>
    <xdr:to>
      <xdr:col>20</xdr:col>
      <xdr:colOff>590550</xdr:colOff>
      <xdr:row>15</xdr:row>
      <xdr:rowOff>47625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745F57D-8CAD-BAA8-727A-BBCCF8489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200025</xdr:colOff>
      <xdr:row>15</xdr:row>
      <xdr:rowOff>142875</xdr:rowOff>
    </xdr:from>
    <xdr:to>
      <xdr:col>13</xdr:col>
      <xdr:colOff>438150</xdr:colOff>
      <xdr:row>28</xdr:row>
      <xdr:rowOff>161925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28E6ECF-1145-4887-9BE3-BDF856FC6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B060-DE79-419C-A07E-D8073DB7F2FB}">
  <dimension ref="A1:N15"/>
  <sheetViews>
    <sheetView tabSelected="1" zoomScale="77" workbookViewId="0">
      <selection activeCell="R21" sqref="R21"/>
    </sheetView>
  </sheetViews>
  <sheetFormatPr defaultRowHeight="16.5" x14ac:dyDescent="0.25"/>
  <cols>
    <col min="1" max="1" width="10.125" customWidth="1"/>
    <col min="2" max="2" width="9.875" customWidth="1"/>
    <col min="3" max="3" width="10.125" customWidth="1"/>
    <col min="4" max="4" width="9.75" customWidth="1"/>
    <col min="5" max="5" width="11.75" customWidth="1"/>
    <col min="8" max="8" width="11" customWidth="1"/>
    <col min="9" max="9" width="9.875" customWidth="1"/>
  </cols>
  <sheetData>
    <row r="1" spans="1:14" x14ac:dyDescent="0.25">
      <c r="A1" s="1" t="s">
        <v>9</v>
      </c>
      <c r="H1" s="1" t="s">
        <v>10</v>
      </c>
    </row>
    <row r="3" spans="1:14" x14ac:dyDescent="0.25">
      <c r="A3" s="2" t="s">
        <v>0</v>
      </c>
      <c r="B3" s="3" t="s">
        <v>6</v>
      </c>
      <c r="C3" s="3"/>
      <c r="D3" s="2">
        <v>1.1299999999999999E-2</v>
      </c>
      <c r="E3" s="2" t="s">
        <v>7</v>
      </c>
      <c r="F3" s="2">
        <v>60</v>
      </c>
      <c r="H3" s="2" t="s">
        <v>0</v>
      </c>
      <c r="I3" s="2" t="s">
        <v>2</v>
      </c>
      <c r="J3" s="2">
        <v>9.0678999999999998</v>
      </c>
      <c r="K3" s="3" t="s">
        <v>13</v>
      </c>
      <c r="L3" s="3"/>
      <c r="M3" s="3"/>
      <c r="N3" t="s">
        <v>16</v>
      </c>
    </row>
    <row r="4" spans="1:14" x14ac:dyDescent="0.25">
      <c r="A4" s="2"/>
      <c r="B4" s="2">
        <v>1</v>
      </c>
      <c r="C4" s="2">
        <v>2</v>
      </c>
      <c r="D4" s="2">
        <v>3</v>
      </c>
      <c r="E4" s="2">
        <v>4</v>
      </c>
      <c r="F4" s="2">
        <v>5</v>
      </c>
      <c r="H4" s="2" t="s">
        <v>11</v>
      </c>
      <c r="I4" s="6">
        <v>150</v>
      </c>
      <c r="J4" s="6">
        <v>200</v>
      </c>
      <c r="K4" s="6">
        <v>250</v>
      </c>
      <c r="L4" s="6">
        <v>300</v>
      </c>
      <c r="M4" s="6">
        <v>350</v>
      </c>
      <c r="N4" s="7">
        <v>10</v>
      </c>
    </row>
    <row r="5" spans="1:14" ht="19.5" x14ac:dyDescent="0.25">
      <c r="A5" s="2" t="s">
        <v>3</v>
      </c>
      <c r="B5" s="2">
        <v>12.5</v>
      </c>
      <c r="C5" s="2">
        <v>13.5</v>
      </c>
      <c r="D5" s="2">
        <v>15.5</v>
      </c>
      <c r="E5" s="2">
        <v>18</v>
      </c>
      <c r="F5" s="2">
        <v>16.3</v>
      </c>
      <c r="H5" s="2" t="s">
        <v>12</v>
      </c>
      <c r="I5" s="2">
        <v>13</v>
      </c>
      <c r="J5" s="2">
        <v>18</v>
      </c>
      <c r="K5" s="2">
        <v>24</v>
      </c>
      <c r="L5" s="2">
        <v>29</v>
      </c>
      <c r="M5" s="2">
        <v>34.5</v>
      </c>
    </row>
    <row r="6" spans="1:14" x14ac:dyDescent="0.25">
      <c r="A6" s="2" t="s">
        <v>1</v>
      </c>
      <c r="B6" s="2">
        <v>25</v>
      </c>
      <c r="C6" s="2">
        <v>28</v>
      </c>
      <c r="D6" s="2">
        <v>31</v>
      </c>
      <c r="E6" s="2">
        <v>36</v>
      </c>
      <c r="F6" s="2">
        <v>33</v>
      </c>
      <c r="H6" s="6" t="s">
        <v>15</v>
      </c>
      <c r="I6" s="2">
        <f>I4*9.8*0.001</f>
        <v>1.47</v>
      </c>
      <c r="J6" s="2">
        <f>J4*0.001*9.8</f>
        <v>1.9600000000000002</v>
      </c>
      <c r="K6" s="2">
        <f t="shared" ref="J6:M6" si="0">K4*0.001*9.8</f>
        <v>2.4500000000000002</v>
      </c>
      <c r="L6" s="2">
        <f t="shared" si="0"/>
        <v>2.94</v>
      </c>
      <c r="M6" s="2">
        <f t="shared" si="0"/>
        <v>3.4300000000000006</v>
      </c>
    </row>
    <row r="7" spans="1:14" x14ac:dyDescent="0.25">
      <c r="A7" s="2" t="s">
        <v>4</v>
      </c>
      <c r="B7" s="2">
        <f>B6/(B5)</f>
        <v>2</v>
      </c>
      <c r="C7" s="2">
        <f>C6/(C5)</f>
        <v>2.074074074074074</v>
      </c>
      <c r="D7" s="2">
        <f>D6/(D5)</f>
        <v>2</v>
      </c>
      <c r="E7" s="2">
        <f>E6/(E5)</f>
        <v>2</v>
      </c>
      <c r="F7" s="2">
        <f>F6/(F5)</f>
        <v>2.0245398773006134</v>
      </c>
      <c r="I7" s="1">
        <f>I5*0.01</f>
        <v>0.13</v>
      </c>
      <c r="J7" s="1">
        <f t="shared" ref="J7:M7" si="1">J5*0.01</f>
        <v>0.18</v>
      </c>
      <c r="K7" s="1">
        <f t="shared" si="1"/>
        <v>0.24</v>
      </c>
      <c r="L7" s="1">
        <f t="shared" si="1"/>
        <v>0.28999999999999998</v>
      </c>
      <c r="M7" s="1">
        <f t="shared" si="1"/>
        <v>0.34500000000000003</v>
      </c>
    </row>
    <row r="8" spans="1:14" x14ac:dyDescent="0.25">
      <c r="A8" s="2" t="s">
        <v>5</v>
      </c>
      <c r="B8" s="2">
        <f>AVERAGE(B7:F7)</f>
        <v>2.0197227902749377</v>
      </c>
      <c r="C8" s="2" t="s">
        <v>2</v>
      </c>
      <c r="D8" s="2">
        <f>(D3*F3^2)/B8^2</f>
        <v>9.97234769581293</v>
      </c>
      <c r="E8" s="4"/>
      <c r="F8" s="5"/>
    </row>
    <row r="10" spans="1:14" x14ac:dyDescent="0.25">
      <c r="A10" s="2" t="s">
        <v>8</v>
      </c>
      <c r="B10" s="3" t="s">
        <v>6</v>
      </c>
      <c r="C10" s="3"/>
      <c r="D10" s="2">
        <v>1.04E-2</v>
      </c>
      <c r="E10" s="2" t="s">
        <v>7</v>
      </c>
      <c r="F10" s="2">
        <v>60</v>
      </c>
      <c r="H10" s="2" t="s">
        <v>0</v>
      </c>
      <c r="I10" s="2" t="s">
        <v>2</v>
      </c>
      <c r="J10" s="2">
        <v>0.84099999999999997</v>
      </c>
      <c r="K10" s="3" t="s">
        <v>13</v>
      </c>
      <c r="L10" s="3"/>
      <c r="M10" s="3"/>
      <c r="N10" t="s">
        <v>16</v>
      </c>
    </row>
    <row r="11" spans="1:14" x14ac:dyDescent="0.25">
      <c r="A11" s="2"/>
      <c r="B11" s="2">
        <v>1</v>
      </c>
      <c r="C11" s="2">
        <v>2</v>
      </c>
      <c r="D11" s="2">
        <v>3</v>
      </c>
      <c r="E11" s="2">
        <v>4</v>
      </c>
      <c r="F11" s="2">
        <v>5</v>
      </c>
      <c r="H11" s="2" t="s">
        <v>11</v>
      </c>
      <c r="I11" s="6">
        <v>10</v>
      </c>
      <c r="J11" s="6">
        <v>20</v>
      </c>
      <c r="K11" s="6">
        <v>30</v>
      </c>
      <c r="L11" s="6">
        <v>40</v>
      </c>
      <c r="M11" s="6">
        <v>50</v>
      </c>
      <c r="N11" s="7">
        <v>8</v>
      </c>
    </row>
    <row r="12" spans="1:14" ht="19.5" x14ac:dyDescent="0.25">
      <c r="A12" s="2" t="s">
        <v>14</v>
      </c>
      <c r="B12" s="2">
        <v>47</v>
      </c>
      <c r="C12" s="2">
        <v>51</v>
      </c>
      <c r="D12" s="2">
        <v>55.5</v>
      </c>
      <c r="E12" s="2">
        <v>60</v>
      </c>
      <c r="F12" s="2">
        <v>66</v>
      </c>
      <c r="H12" s="2" t="s">
        <v>12</v>
      </c>
      <c r="I12" s="2">
        <v>11.5</v>
      </c>
      <c r="J12" s="2">
        <v>23.5</v>
      </c>
      <c r="K12" s="2">
        <v>35</v>
      </c>
      <c r="L12" s="2">
        <v>47</v>
      </c>
      <c r="M12" s="2">
        <v>58</v>
      </c>
    </row>
    <row r="13" spans="1:14" x14ac:dyDescent="0.25">
      <c r="A13" s="2" t="s">
        <v>1</v>
      </c>
      <c r="B13" s="2">
        <v>50</v>
      </c>
      <c r="C13" s="2">
        <v>54</v>
      </c>
      <c r="D13" s="2">
        <v>59</v>
      </c>
      <c r="E13" s="2">
        <v>64</v>
      </c>
      <c r="F13" s="2">
        <v>70</v>
      </c>
      <c r="H13" s="6" t="s">
        <v>15</v>
      </c>
      <c r="I13" s="2">
        <f>I11*0.001*9.8</f>
        <v>9.8000000000000004E-2</v>
      </c>
      <c r="J13" s="2">
        <f>J11*0.001*9.8</f>
        <v>0.19600000000000001</v>
      </c>
      <c r="K13" s="2">
        <f>K11*0.001*9.8</f>
        <v>0.29399999999999998</v>
      </c>
      <c r="L13" s="2">
        <f t="shared" ref="K13:M13" si="2">L11*0.001*9.8</f>
        <v>0.39200000000000002</v>
      </c>
      <c r="M13" s="2">
        <f t="shared" si="2"/>
        <v>0.49000000000000005</v>
      </c>
    </row>
    <row r="14" spans="1:14" x14ac:dyDescent="0.25">
      <c r="A14" s="2" t="s">
        <v>4</v>
      </c>
      <c r="B14" s="2">
        <f>B13/(B12/6)</f>
        <v>6.3829787234042552</v>
      </c>
      <c r="C14" s="2">
        <f t="shared" ref="C14:F14" si="3">C13/(C12/6)</f>
        <v>6.3529411764705879</v>
      </c>
      <c r="D14" s="2">
        <f t="shared" si="3"/>
        <v>6.3783783783783781</v>
      </c>
      <c r="E14" s="2">
        <f t="shared" si="3"/>
        <v>6.4</v>
      </c>
      <c r="F14" s="2">
        <f t="shared" si="3"/>
        <v>6.3636363636363633</v>
      </c>
      <c r="I14">
        <f>I12*0.01</f>
        <v>0.115</v>
      </c>
      <c r="J14">
        <f t="shared" ref="J14:M14" si="4">J12*0.01</f>
        <v>0.23500000000000001</v>
      </c>
      <c r="K14">
        <f t="shared" si="4"/>
        <v>0.35000000000000003</v>
      </c>
      <c r="L14">
        <f t="shared" si="4"/>
        <v>0.47000000000000003</v>
      </c>
      <c r="M14">
        <f t="shared" si="4"/>
        <v>0.57999999999999996</v>
      </c>
    </row>
    <row r="15" spans="1:14" x14ac:dyDescent="0.25">
      <c r="A15" s="2" t="s">
        <v>5</v>
      </c>
      <c r="B15" s="2">
        <f>AVERAGE(B14:F14)</f>
        <v>6.375586928377917</v>
      </c>
      <c r="C15" s="2" t="s">
        <v>2</v>
      </c>
      <c r="D15" s="2">
        <f>(D10*F10^2)/B15^2</f>
        <v>0.92107606515087437</v>
      </c>
      <c r="E15" s="4" t="s">
        <v>13</v>
      </c>
      <c r="F15" s="5"/>
    </row>
  </sheetData>
  <mergeCells count="6">
    <mergeCell ref="E15:F15"/>
    <mergeCell ref="K10:M10"/>
    <mergeCell ref="B3:C3"/>
    <mergeCell ref="B10:C10"/>
    <mergeCell ref="K3:M3"/>
    <mergeCell ref="E8:F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</dc:creator>
  <cp:lastModifiedBy>MY A</cp:lastModifiedBy>
  <dcterms:created xsi:type="dcterms:W3CDTF">2025-11-30T15:18:03Z</dcterms:created>
  <dcterms:modified xsi:type="dcterms:W3CDTF">2025-12-01T01:20:17Z</dcterms:modified>
</cp:coreProperties>
</file>