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VqVx66Viue6dH/i0KdCgy91qJIcZDERMgqQd4pa10ns="/>
    </ext>
  </extLst>
</workbook>
</file>

<file path=xl/sharedStrings.xml><?xml version="1.0" encoding="utf-8"?>
<sst xmlns="http://schemas.openxmlformats.org/spreadsheetml/2006/main" count="57" uniqueCount="21">
  <si>
    <t>A：尋找特定距離下的磁場大小</t>
  </si>
  <si>
    <t>C：載體濃度</t>
  </si>
  <si>
    <t>結報記得要填這張圖</t>
  </si>
  <si>
    <t>d(cm)</t>
  </si>
  <si>
    <t>磁場B(T)</t>
  </si>
  <si>
    <t>晶片類型</t>
  </si>
  <si>
    <t>B(T)</t>
  </si>
  <si>
    <t>I(mA)</t>
  </si>
  <si>
    <t>V(mV)</t>
  </si>
  <si>
    <r>
      <rPr>
        <rFont val="DFKai-SB"/>
        <color theme="1"/>
        <sz val="12.0"/>
      </rPr>
      <t>載體濃度n(m</t>
    </r>
    <r>
      <rPr>
        <rFont val="標楷體"/>
        <color theme="1"/>
        <sz val="12.0"/>
        <vertAlign val="superscript"/>
      </rPr>
      <t>-3</t>
    </r>
    <r>
      <rPr>
        <rFont val="標楷體"/>
        <color theme="1"/>
        <sz val="12.0"/>
      </rPr>
      <t>)</t>
    </r>
  </si>
  <si>
    <t>第1次</t>
  </si>
  <si>
    <t>第2次</t>
  </si>
  <si>
    <t>第3次</t>
  </si>
  <si>
    <t>第4次</t>
  </si>
  <si>
    <t>第5次</t>
  </si>
  <si>
    <t>平均值</t>
  </si>
  <si>
    <t>紅色型</t>
  </si>
  <si>
    <t>黑色型</t>
  </si>
  <si>
    <r>
      <rPr>
        <rFont val="DFKai-SB"/>
        <b/>
        <color theme="1"/>
        <sz val="12.0"/>
      </rPr>
      <t>B：紀錄電流I、電壓V</t>
    </r>
    <r>
      <rPr>
        <rFont val="標楷體"/>
        <b/>
        <color rgb="FFFF0000"/>
        <sz val="12.0"/>
      </rPr>
      <t>(紅色型)</t>
    </r>
  </si>
  <si>
    <t>測量值</t>
  </si>
  <si>
    <r>
      <rPr>
        <rFont val="DFKai-SB"/>
        <b/>
        <color theme="1"/>
        <sz val="12.0"/>
      </rPr>
      <t>B：紀錄電流I、電壓V</t>
    </r>
    <r>
      <rPr>
        <rFont val="標楷體"/>
        <b/>
        <color rgb="FFFF0000"/>
        <sz val="12.0"/>
      </rPr>
      <t>(黑色型)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</si>
</sst>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"/>
    <numFmt numFmtId="166" formatCode="0.0_ "/>
  </numFmts>
  <fonts count="4">
    <font>
      <sz val="12.0"/>
      <color theme="1"/>
      <name val="Aptos Narrow"/>
      <scheme val="minor"/>
    </font>
    <font>
      <sz val="12.0"/>
      <color theme="1"/>
      <name val="DFKai-SB"/>
    </font>
    <font>
      <b/>
      <sz val="12.0"/>
      <color theme="1"/>
      <name val="DFKai-SB"/>
    </font>
    <font/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39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3" fillId="0" fontId="1" numFmtId="11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vertical="center"/>
    </xf>
    <xf borderId="15" fillId="0" fontId="1" numFmtId="165" xfId="0" applyAlignment="1" applyBorder="1" applyFont="1" applyNumberFormat="1">
      <alignment horizontal="center" vertical="center"/>
    </xf>
    <xf borderId="9" fillId="2" fontId="1" numFmtId="164" xfId="0" applyAlignment="1" applyBorder="1" applyFill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vertical="center"/>
    </xf>
    <xf borderId="17" fillId="0" fontId="1" numFmtId="165" xfId="0" applyAlignment="1" applyBorder="1" applyFont="1" applyNumberForma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19" fillId="0" fontId="1" numFmtId="164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3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8" fillId="0" fontId="1" numFmtId="2" xfId="0" applyAlignment="1" applyBorder="1" applyFont="1" applyNumberFormat="1">
      <alignment horizontal="center" vertical="center"/>
    </xf>
    <xf borderId="24" fillId="0" fontId="1" numFmtId="165" xfId="0" applyAlignment="1" applyBorder="1" applyFont="1" applyNumberFormat="1">
      <alignment horizontal="center" vertical="center"/>
    </xf>
    <xf borderId="25" fillId="0" fontId="1" numFmtId="11" xfId="0" applyAlignment="1" applyBorder="1" applyFont="1" applyNumberFormat="1">
      <alignment horizontal="center" vertical="center"/>
    </xf>
    <xf borderId="26" fillId="0" fontId="3" numFmtId="0" xfId="0" applyAlignment="1" applyBorder="1" applyFont="1">
      <alignment vertical="center"/>
    </xf>
    <xf borderId="16" fillId="0" fontId="1" numFmtId="165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2" fontId="1" numFmtId="2" xfId="0" applyAlignment="1" applyBorder="1" applyFont="1" applyNumberFormat="1">
      <alignment horizontal="center" vertical="center"/>
    </xf>
    <xf borderId="29" fillId="0" fontId="1" numFmtId="2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2" fontId="1" numFmtId="165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33" fillId="0" fontId="1" numFmtId="165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4" fillId="2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vertical="center"/>
    </xf>
    <xf borderId="37" fillId="0" fontId="1" numFmtId="0" xfId="0" applyAlignment="1" applyBorder="1" applyFont="1">
      <alignment horizontal="center" vertical="center"/>
    </xf>
    <xf borderId="37" fillId="2" fontId="1" numFmtId="165" xfId="0" applyAlignment="1" applyBorder="1" applyFont="1" applyNumberFormat="1">
      <alignment horizontal="center" vertical="center"/>
    </xf>
    <xf borderId="38" fillId="0" fontId="1" numFmtId="165" xfId="0" applyAlignment="1" applyBorder="1" applyFont="1" applyNumberFormat="1">
      <alignment horizontal="center" vertical="center"/>
    </xf>
    <xf borderId="18" fillId="2" fontId="1" numFmtId="165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8" fillId="2" fontId="1" numFmtId="2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64060427"/>
        <c:axId val="1864275957"/>
      </c:scatterChart>
      <c:valAx>
        <c:axId val="864060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磁場B(T)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4275957"/>
      </c:valAx>
      <c:valAx>
        <c:axId val="18642759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406042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電壓對磁場的關係(黑色型)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111248358"/>
        <c:axId val="1673772500"/>
      </c:scatterChart>
      <c:valAx>
        <c:axId val="21112483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磁場B(T)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3772500"/>
      </c:valAx>
      <c:valAx>
        <c:axId val="167377250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1124835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13</xdr:row>
      <xdr:rowOff>142875</xdr:rowOff>
    </xdr:from>
    <xdr:ext cx="4429125" cy="3105150"/>
    <xdr:graphicFrame>
      <xdr:nvGraphicFramePr>
        <xdr:cNvPr id="5345757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76200</xdr:colOff>
      <xdr:row>27</xdr:row>
      <xdr:rowOff>38100</xdr:rowOff>
    </xdr:from>
    <xdr:ext cx="4429125" cy="3105150"/>
    <xdr:graphicFrame>
      <xdr:nvGraphicFramePr>
        <xdr:cNvPr id="118226238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</xdr:colOff>
      <xdr:row>2</xdr:row>
      <xdr:rowOff>9525</xdr:rowOff>
    </xdr:from>
    <xdr:ext cx="5143500" cy="27622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7.56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2" t="s">
        <v>1</v>
      </c>
      <c r="M2" s="1"/>
      <c r="N2" s="1"/>
      <c r="O2" s="1"/>
      <c r="P2" s="1"/>
      <c r="Q2" s="1"/>
      <c r="R2" s="1"/>
      <c r="S2" s="1"/>
      <c r="T2" s="3" t="s">
        <v>2</v>
      </c>
      <c r="U2" s="1"/>
      <c r="V2" s="1"/>
      <c r="W2" s="1"/>
      <c r="X2" s="1"/>
      <c r="Y2" s="1"/>
      <c r="Z2" s="1"/>
      <c r="AA2" s="1"/>
    </row>
    <row r="3" ht="18.75" customHeight="1">
      <c r="A3" s="1"/>
      <c r="B3" s="4" t="s">
        <v>3</v>
      </c>
      <c r="C3" s="5" t="s">
        <v>4</v>
      </c>
      <c r="D3" s="6"/>
      <c r="E3" s="6"/>
      <c r="F3" s="6"/>
      <c r="G3" s="6"/>
      <c r="H3" s="7"/>
      <c r="I3" s="1"/>
      <c r="J3" s="1"/>
      <c r="K3" s="1"/>
      <c r="L3" s="8" t="s">
        <v>5</v>
      </c>
      <c r="M3" s="9" t="s">
        <v>3</v>
      </c>
      <c r="N3" s="9" t="s">
        <v>6</v>
      </c>
      <c r="O3" s="9" t="s">
        <v>7</v>
      </c>
      <c r="P3" s="5" t="s">
        <v>8</v>
      </c>
      <c r="Q3" s="10" t="s">
        <v>9</v>
      </c>
      <c r="R3" s="7"/>
      <c r="S3" s="1"/>
      <c r="T3" s="1"/>
      <c r="U3" s="1"/>
      <c r="V3" s="1"/>
      <c r="W3" s="1"/>
      <c r="X3" s="1"/>
      <c r="Y3" s="1"/>
      <c r="Z3" s="1"/>
      <c r="AA3" s="1"/>
    </row>
    <row r="4" ht="18.75" customHeight="1">
      <c r="A4" s="1"/>
      <c r="B4" s="11"/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3" t="s">
        <v>15</v>
      </c>
      <c r="I4" s="1"/>
      <c r="J4" s="1"/>
      <c r="K4" s="1"/>
      <c r="L4" s="14" t="s">
        <v>16</v>
      </c>
      <c r="M4" s="12">
        <v>0.5</v>
      </c>
      <c r="N4" s="15" t="str">
        <f t="shared" ref="N4:N8" si="1">H5</f>
        <v>#DIV/0!</v>
      </c>
      <c r="O4" s="16" t="str">
        <f> I14</f>
        <v>#DIV/0!</v>
      </c>
      <c r="P4" s="17" t="str">
        <f> I15</f>
        <v>#DIV/0!</v>
      </c>
      <c r="Q4" s="18" t="str">
        <f t="shared" ref="Q4:Q13" si="2"> ABS(N4*O4/((1.6*10^-19)*P4*0.001))</f>
        <v>#DIV/0!</v>
      </c>
      <c r="R4" s="19"/>
      <c r="S4" s="1"/>
      <c r="T4" s="1"/>
      <c r="U4" s="1"/>
      <c r="V4" s="1"/>
      <c r="W4" s="1"/>
      <c r="X4" s="1"/>
      <c r="Y4" s="1"/>
      <c r="Z4" s="1"/>
      <c r="AA4" s="1"/>
    </row>
    <row r="5" ht="18.75" customHeight="1">
      <c r="A5" s="1"/>
      <c r="B5" s="20">
        <v>0.5</v>
      </c>
      <c r="C5" s="21"/>
      <c r="E5" s="21"/>
      <c r="F5" s="21"/>
      <c r="G5" s="21"/>
      <c r="H5" s="22" t="str">
        <f t="shared" ref="H5:H9" si="3"> AVERAGE(C5:G5)</f>
        <v>#DIV/0!</v>
      </c>
      <c r="I5" s="1"/>
      <c r="J5" s="1"/>
      <c r="K5" s="1"/>
      <c r="L5" s="23"/>
      <c r="M5" s="12">
        <v>1.0</v>
      </c>
      <c r="N5" s="15" t="str">
        <f t="shared" si="1"/>
        <v>#DIV/0!</v>
      </c>
      <c r="O5" s="16" t="str">
        <f> I16</f>
        <v>#DIV/0!</v>
      </c>
      <c r="P5" s="17" t="str">
        <f> I17</f>
        <v>#DIV/0!</v>
      </c>
      <c r="Q5" s="18" t="str">
        <f t="shared" si="2"/>
        <v>#DIV/0!</v>
      </c>
      <c r="R5" s="19"/>
      <c r="S5" s="1"/>
      <c r="T5" s="1"/>
      <c r="U5" s="1"/>
      <c r="V5" s="1"/>
      <c r="W5" s="1"/>
      <c r="X5" s="1"/>
      <c r="Y5" s="1"/>
      <c r="Z5" s="1"/>
      <c r="AA5" s="1"/>
    </row>
    <row r="6" ht="18.75" customHeight="1">
      <c r="A6" s="1"/>
      <c r="B6" s="20">
        <v>1.0</v>
      </c>
      <c r="C6" s="21"/>
      <c r="D6" s="21"/>
      <c r="E6" s="21"/>
      <c r="F6" s="21"/>
      <c r="G6" s="21"/>
      <c r="H6" s="22" t="str">
        <f t="shared" si="3"/>
        <v>#DIV/0!</v>
      </c>
      <c r="I6" s="1"/>
      <c r="J6" s="1"/>
      <c r="K6" s="1"/>
      <c r="L6" s="23"/>
      <c r="M6" s="12">
        <v>1.5</v>
      </c>
      <c r="N6" s="15" t="str">
        <f t="shared" si="1"/>
        <v>#DIV/0!</v>
      </c>
      <c r="O6" s="16" t="str">
        <f> I18</f>
        <v>#DIV/0!</v>
      </c>
      <c r="P6" s="17" t="str">
        <f> I19</f>
        <v>#DIV/0!</v>
      </c>
      <c r="Q6" s="18" t="str">
        <f t="shared" si="2"/>
        <v>#DIV/0!</v>
      </c>
      <c r="R6" s="19"/>
      <c r="S6" s="1"/>
      <c r="T6" s="1"/>
      <c r="U6" s="1"/>
      <c r="V6" s="1"/>
      <c r="W6" s="1"/>
      <c r="X6" s="1"/>
      <c r="Y6" s="1"/>
      <c r="Z6" s="1"/>
      <c r="AA6" s="1"/>
    </row>
    <row r="7" ht="18.75" customHeight="1">
      <c r="A7" s="1"/>
      <c r="B7" s="20">
        <v>1.5</v>
      </c>
      <c r="C7" s="21"/>
      <c r="D7" s="21"/>
      <c r="E7" s="21"/>
      <c r="F7" s="21"/>
      <c r="G7" s="21"/>
      <c r="H7" s="22" t="str">
        <f t="shared" si="3"/>
        <v>#DIV/0!</v>
      </c>
      <c r="I7" s="1"/>
      <c r="J7" s="1"/>
      <c r="K7" s="1"/>
      <c r="L7" s="23"/>
      <c r="M7" s="12">
        <v>2.0</v>
      </c>
      <c r="N7" s="15" t="str">
        <f t="shared" si="1"/>
        <v>#DIV/0!</v>
      </c>
      <c r="O7" s="16" t="str">
        <f> I20</f>
        <v>#DIV/0!</v>
      </c>
      <c r="P7" s="17" t="str">
        <f> I21</f>
        <v>#DIV/0!</v>
      </c>
      <c r="Q7" s="18" t="str">
        <f t="shared" si="2"/>
        <v>#DIV/0!</v>
      </c>
      <c r="R7" s="19"/>
      <c r="S7" s="1"/>
      <c r="T7" s="1"/>
      <c r="U7" s="1"/>
      <c r="V7" s="1"/>
      <c r="W7" s="1"/>
      <c r="X7" s="1"/>
      <c r="Y7" s="1"/>
      <c r="Z7" s="1"/>
      <c r="AA7" s="1"/>
    </row>
    <row r="8" ht="18.75" customHeight="1">
      <c r="A8" s="1"/>
      <c r="B8" s="20">
        <v>2.0</v>
      </c>
      <c r="C8" s="21"/>
      <c r="D8" s="21"/>
      <c r="E8" s="21"/>
      <c r="F8" s="21"/>
      <c r="G8" s="21"/>
      <c r="H8" s="22" t="str">
        <f t="shared" si="3"/>
        <v>#DIV/0!</v>
      </c>
      <c r="I8" s="1"/>
      <c r="J8" s="1"/>
      <c r="K8" s="1"/>
      <c r="L8" s="11"/>
      <c r="M8" s="12">
        <v>2.5</v>
      </c>
      <c r="N8" s="15" t="str">
        <f t="shared" si="1"/>
        <v>#DIV/0!</v>
      </c>
      <c r="O8" s="16" t="str">
        <f> I22</f>
        <v>#DIV/0!</v>
      </c>
      <c r="P8" s="17" t="str">
        <f> I23</f>
        <v>#DIV/0!</v>
      </c>
      <c r="Q8" s="18" t="str">
        <f t="shared" si="2"/>
        <v>#DIV/0!</v>
      </c>
      <c r="R8" s="19"/>
      <c r="S8" s="1"/>
      <c r="T8" s="1"/>
      <c r="U8" s="1"/>
      <c r="V8" s="1"/>
      <c r="W8" s="1"/>
      <c r="X8" s="1"/>
      <c r="Y8" s="1"/>
      <c r="Z8" s="1"/>
      <c r="AA8" s="1"/>
    </row>
    <row r="9" ht="18.75" customHeight="1">
      <c r="A9" s="1"/>
      <c r="B9" s="24">
        <v>2.5</v>
      </c>
      <c r="C9" s="25"/>
      <c r="D9" s="25"/>
      <c r="E9" s="25"/>
      <c r="F9" s="25"/>
      <c r="G9" s="25"/>
      <c r="H9" s="26" t="str">
        <f t="shared" si="3"/>
        <v>#DIV/0!</v>
      </c>
      <c r="I9" s="1"/>
      <c r="J9" s="1"/>
      <c r="K9" s="1"/>
      <c r="L9" s="14" t="s">
        <v>17</v>
      </c>
      <c r="M9" s="12">
        <v>0.5</v>
      </c>
      <c r="N9" s="15" t="str">
        <f t="shared" ref="N9:N13" si="4"> H5</f>
        <v>#DIV/0!</v>
      </c>
      <c r="O9" s="16" t="str">
        <f>I28</f>
        <v>#DIV/0!</v>
      </c>
      <c r="P9" s="17" t="str">
        <f> I29</f>
        <v>#DIV/0!</v>
      </c>
      <c r="Q9" s="18" t="str">
        <f t="shared" si="2"/>
        <v>#DIV/0!</v>
      </c>
      <c r="R9" s="19"/>
      <c r="S9" s="1"/>
      <c r="T9" s="1"/>
      <c r="U9" s="1"/>
      <c r="V9" s="1"/>
      <c r="W9" s="1"/>
      <c r="X9" s="1"/>
      <c r="Y9" s="1"/>
      <c r="Z9" s="1"/>
      <c r="AA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3"/>
      <c r="M10" s="12">
        <v>1.0</v>
      </c>
      <c r="N10" s="15" t="str">
        <f t="shared" si="4"/>
        <v>#DIV/0!</v>
      </c>
      <c r="O10" s="16" t="str">
        <f>I30</f>
        <v>#DIV/0!</v>
      </c>
      <c r="P10" s="17" t="str">
        <f> I31</f>
        <v>#DIV/0!</v>
      </c>
      <c r="Q10" s="18" t="str">
        <f t="shared" si="2"/>
        <v>#DIV/0!</v>
      </c>
      <c r="R10" s="19"/>
      <c r="S10" s="1"/>
      <c r="T10" s="1"/>
      <c r="U10" s="1"/>
      <c r="V10" s="1"/>
      <c r="W10" s="1"/>
      <c r="X10" s="1"/>
      <c r="Y10" s="1"/>
      <c r="Z10" s="1"/>
      <c r="AA10" s="1"/>
    </row>
    <row r="11" ht="18.75" customHeight="1">
      <c r="A11" s="1"/>
      <c r="B11" s="27"/>
      <c r="C11" s="27"/>
      <c r="D11" s="27"/>
      <c r="E11" s="27"/>
      <c r="F11" s="27"/>
      <c r="G11" s="1"/>
      <c r="H11" s="1"/>
      <c r="I11" s="1"/>
      <c r="J11" s="1"/>
      <c r="K11" s="1"/>
      <c r="L11" s="23"/>
      <c r="M11" s="12">
        <v>1.5</v>
      </c>
      <c r="N11" s="15" t="str">
        <f t="shared" si="4"/>
        <v>#DIV/0!</v>
      </c>
      <c r="O11" s="16" t="str">
        <f>I32</f>
        <v>#DIV/0!</v>
      </c>
      <c r="P11" s="17" t="str">
        <f> I33</f>
        <v>#DIV/0!</v>
      </c>
      <c r="Q11" s="18" t="str">
        <f t="shared" si="2"/>
        <v>#DIV/0!</v>
      </c>
      <c r="R11" s="19"/>
      <c r="S11" s="1"/>
      <c r="T11" s="1"/>
      <c r="U11" s="1"/>
      <c r="V11" s="1"/>
      <c r="W11" s="1"/>
      <c r="X11" s="1"/>
      <c r="Y11" s="1"/>
      <c r="Z11" s="1"/>
      <c r="AA11" s="1"/>
    </row>
    <row r="12" ht="18.75" customHeight="1">
      <c r="A12" s="1"/>
      <c r="B12" s="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23"/>
      <c r="M12" s="12">
        <v>2.0</v>
      </c>
      <c r="N12" s="15" t="str">
        <f t="shared" si="4"/>
        <v>#DIV/0!</v>
      </c>
      <c r="O12" s="16" t="str">
        <f>I34</f>
        <v>#DIV/0!</v>
      </c>
      <c r="P12" s="17" t="str">
        <f> I35</f>
        <v>#DIV/0!</v>
      </c>
      <c r="Q12" s="18" t="str">
        <f t="shared" si="2"/>
        <v>#DIV/0!</v>
      </c>
      <c r="R12" s="19"/>
      <c r="S12" s="1"/>
      <c r="T12" s="1"/>
      <c r="U12" s="1"/>
      <c r="V12" s="1"/>
      <c r="W12" s="1"/>
      <c r="X12" s="1"/>
      <c r="Y12" s="1"/>
      <c r="Z12" s="1"/>
      <c r="AA12" s="1"/>
    </row>
    <row r="13" ht="18.75" customHeight="1">
      <c r="A13" s="1"/>
      <c r="B13" s="28" t="s">
        <v>3</v>
      </c>
      <c r="C13" s="29" t="s">
        <v>19</v>
      </c>
      <c r="D13" s="29" t="s">
        <v>10</v>
      </c>
      <c r="E13" s="29" t="s">
        <v>11</v>
      </c>
      <c r="F13" s="29" t="s">
        <v>12</v>
      </c>
      <c r="G13" s="29" t="s">
        <v>13</v>
      </c>
      <c r="H13" s="29" t="s">
        <v>14</v>
      </c>
      <c r="I13" s="30" t="s">
        <v>15</v>
      </c>
      <c r="J13" s="1"/>
      <c r="K13" s="1"/>
      <c r="L13" s="31"/>
      <c r="M13" s="32">
        <v>2.5</v>
      </c>
      <c r="N13" s="33" t="str">
        <f t="shared" si="4"/>
        <v>#DIV/0!</v>
      </c>
      <c r="O13" s="34" t="str">
        <f>I36</f>
        <v>#DIV/0!</v>
      </c>
      <c r="P13" s="35" t="str">
        <f> I37</f>
        <v>#DIV/0!</v>
      </c>
      <c r="Q13" s="36" t="str">
        <f t="shared" si="2"/>
        <v>#DIV/0!</v>
      </c>
      <c r="R13" s="37"/>
      <c r="S13" s="1"/>
      <c r="T13" s="1"/>
      <c r="U13" s="1"/>
      <c r="V13" s="1"/>
      <c r="W13" s="1"/>
      <c r="X13" s="1"/>
      <c r="Y13" s="1"/>
      <c r="Z13" s="1"/>
      <c r="AA13" s="1"/>
    </row>
    <row r="14" ht="18.75" customHeight="1">
      <c r="A14" s="1"/>
      <c r="B14" s="38">
        <v>0.5</v>
      </c>
      <c r="C14" s="39" t="s">
        <v>7</v>
      </c>
      <c r="D14" s="40"/>
      <c r="E14" s="40"/>
      <c r="F14" s="40"/>
      <c r="G14" s="40"/>
      <c r="H14" s="40"/>
      <c r="I14" s="41" t="str">
        <f t="shared" ref="I14:I23" si="5"> AVERAGE(D14:H14)</f>
        <v>#DIV/0!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75" customHeight="1">
      <c r="A15" s="1"/>
      <c r="B15" s="11"/>
      <c r="C15" s="42" t="s">
        <v>8</v>
      </c>
      <c r="D15" s="43"/>
      <c r="E15" s="43"/>
      <c r="F15" s="43"/>
      <c r="G15" s="43"/>
      <c r="H15" s="43"/>
      <c r="I15" s="44" t="str">
        <f t="shared" si="5"/>
        <v>#DIV/0!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75" customHeight="1">
      <c r="A16" s="1"/>
      <c r="B16" s="45">
        <v>1.0</v>
      </c>
      <c r="C16" s="46" t="s">
        <v>7</v>
      </c>
      <c r="D16" s="47"/>
      <c r="E16" s="47"/>
      <c r="F16" s="47"/>
      <c r="G16" s="47"/>
      <c r="H16" s="47"/>
      <c r="I16" s="48" t="str">
        <f t="shared" si="5"/>
        <v>#DIV/0!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75" customHeight="1">
      <c r="A17" s="1"/>
      <c r="B17" s="49"/>
      <c r="C17" s="50" t="s">
        <v>8</v>
      </c>
      <c r="D17" s="51"/>
      <c r="E17" s="51"/>
      <c r="F17" s="51"/>
      <c r="G17" s="51"/>
      <c r="H17" s="51"/>
      <c r="I17" s="52" t="str">
        <f t="shared" si="5"/>
        <v>#DIV/0!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75" customHeight="1">
      <c r="A18" s="1"/>
      <c r="B18" s="38">
        <v>1.5</v>
      </c>
      <c r="C18" s="39" t="s">
        <v>7</v>
      </c>
      <c r="D18" s="40"/>
      <c r="E18" s="40"/>
      <c r="F18" s="40"/>
      <c r="G18" s="40"/>
      <c r="H18" s="40"/>
      <c r="I18" s="41" t="str">
        <f t="shared" si="5"/>
        <v>#DIV/0!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75" customHeight="1">
      <c r="A19" s="1"/>
      <c r="B19" s="11"/>
      <c r="C19" s="42" t="s">
        <v>8</v>
      </c>
      <c r="D19" s="43"/>
      <c r="E19" s="43"/>
      <c r="F19" s="43"/>
      <c r="G19" s="43"/>
      <c r="H19" s="43"/>
      <c r="I19" s="44" t="str">
        <f t="shared" si="5"/>
        <v>#DIV/0!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8.75" customHeight="1">
      <c r="A20" s="1"/>
      <c r="B20" s="45">
        <v>2.0</v>
      </c>
      <c r="C20" s="46" t="s">
        <v>7</v>
      </c>
      <c r="D20" s="47"/>
      <c r="E20" s="47"/>
      <c r="F20" s="47"/>
      <c r="G20" s="47"/>
      <c r="H20" s="47"/>
      <c r="I20" s="48" t="str">
        <f t="shared" si="5"/>
        <v>#DIV/0!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8.75" customHeight="1">
      <c r="A21" s="1"/>
      <c r="B21" s="49"/>
      <c r="C21" s="50" t="s">
        <v>8</v>
      </c>
      <c r="D21" s="51"/>
      <c r="E21" s="51"/>
      <c r="F21" s="51"/>
      <c r="G21" s="51"/>
      <c r="H21" s="51"/>
      <c r="I21" s="52" t="str">
        <f t="shared" si="5"/>
        <v>#DIV/0!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75" customHeight="1">
      <c r="A22" s="1"/>
      <c r="B22" s="38">
        <v>2.5</v>
      </c>
      <c r="C22" s="39" t="s">
        <v>7</v>
      </c>
      <c r="D22" s="40"/>
      <c r="E22" s="40"/>
      <c r="F22" s="40"/>
      <c r="G22" s="40"/>
      <c r="H22" s="40"/>
      <c r="I22" s="41" t="str">
        <f t="shared" si="5"/>
        <v>#DIV/0!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75" customHeight="1">
      <c r="A23" s="1"/>
      <c r="B23" s="31"/>
      <c r="C23" s="32" t="s">
        <v>8</v>
      </c>
      <c r="D23" s="53"/>
      <c r="E23" s="53"/>
      <c r="F23" s="53"/>
      <c r="G23" s="53"/>
      <c r="H23" s="53"/>
      <c r="I23" s="54" t="str">
        <f t="shared" si="5"/>
        <v>#DIV/0!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75" customHeight="1">
      <c r="A26" s="1"/>
      <c r="B26" s="2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75" customHeight="1">
      <c r="A27" s="1"/>
      <c r="B27" s="28" t="s">
        <v>3</v>
      </c>
      <c r="C27" s="29" t="s">
        <v>19</v>
      </c>
      <c r="D27" s="29" t="s">
        <v>10</v>
      </c>
      <c r="E27" s="29" t="s">
        <v>11</v>
      </c>
      <c r="F27" s="29" t="s">
        <v>12</v>
      </c>
      <c r="G27" s="29" t="s">
        <v>13</v>
      </c>
      <c r="H27" s="29" t="s">
        <v>14</v>
      </c>
      <c r="I27" s="30" t="s">
        <v>15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75" customHeight="1">
      <c r="A28" s="1"/>
      <c r="B28" s="38">
        <v>0.5</v>
      </c>
      <c r="C28" s="39" t="s">
        <v>7</v>
      </c>
      <c r="D28" s="40"/>
      <c r="E28" s="40"/>
      <c r="F28" s="40"/>
      <c r="G28" s="40"/>
      <c r="H28" s="55"/>
      <c r="I28" s="41" t="str">
        <f t="shared" ref="I28:I37" si="6"> AVERAGE(D28:H28)</f>
        <v>#DIV/0!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75" customHeight="1">
      <c r="A29" s="1"/>
      <c r="B29" s="11"/>
      <c r="C29" s="42" t="s">
        <v>8</v>
      </c>
      <c r="D29" s="43"/>
      <c r="E29" s="43"/>
      <c r="F29" s="43"/>
      <c r="G29" s="43"/>
      <c r="H29" s="43"/>
      <c r="I29" s="44" t="str">
        <f t="shared" si="6"/>
        <v>#DIV/0!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75" customHeight="1">
      <c r="A30" s="1"/>
      <c r="B30" s="45">
        <v>1.0</v>
      </c>
      <c r="C30" s="46" t="s">
        <v>7</v>
      </c>
      <c r="D30" s="47"/>
      <c r="E30" s="47"/>
      <c r="F30" s="47"/>
      <c r="G30" s="47"/>
      <c r="H30" s="47"/>
      <c r="I30" s="48" t="str">
        <f t="shared" si="6"/>
        <v>#DIV/0!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75" customHeight="1">
      <c r="A31" s="1"/>
      <c r="B31" s="49"/>
      <c r="C31" s="50" t="s">
        <v>8</v>
      </c>
      <c r="D31" s="51"/>
      <c r="E31" s="51"/>
      <c r="F31" s="51"/>
      <c r="G31" s="51"/>
      <c r="H31" s="51"/>
      <c r="I31" s="52" t="str">
        <f t="shared" si="6"/>
        <v>#DIV/0!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75" customHeight="1">
      <c r="A32" s="1"/>
      <c r="B32" s="38">
        <v>1.5</v>
      </c>
      <c r="C32" s="39" t="s">
        <v>7</v>
      </c>
      <c r="D32" s="40"/>
      <c r="E32" s="40"/>
      <c r="F32" s="40"/>
      <c r="G32" s="40"/>
      <c r="H32" s="40"/>
      <c r="I32" s="41" t="str">
        <f t="shared" si="6"/>
        <v>#DIV/0!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75" customHeight="1">
      <c r="A33" s="1"/>
      <c r="B33" s="11"/>
      <c r="C33" s="42" t="s">
        <v>8</v>
      </c>
      <c r="D33" s="43"/>
      <c r="E33" s="43"/>
      <c r="F33" s="43"/>
      <c r="G33" s="43"/>
      <c r="H33" s="43"/>
      <c r="I33" s="44" t="str">
        <f t="shared" si="6"/>
        <v>#DIV/0!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75" customHeight="1">
      <c r="A34" s="1"/>
      <c r="B34" s="45">
        <v>2.0</v>
      </c>
      <c r="C34" s="46" t="s">
        <v>7</v>
      </c>
      <c r="D34" s="47"/>
      <c r="E34" s="47"/>
      <c r="F34" s="47"/>
      <c r="G34" s="47"/>
      <c r="H34" s="47"/>
      <c r="I34" s="48" t="str">
        <f t="shared" si="6"/>
        <v>#DIV/0!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75" customHeight="1">
      <c r="A35" s="1"/>
      <c r="B35" s="49"/>
      <c r="C35" s="50" t="s">
        <v>8</v>
      </c>
      <c r="D35" s="51"/>
      <c r="E35" s="51"/>
      <c r="F35" s="51"/>
      <c r="G35" s="51"/>
      <c r="H35" s="51"/>
      <c r="I35" s="52" t="str">
        <f t="shared" si="6"/>
        <v>#DIV/0!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75" customHeight="1">
      <c r="A36" s="1"/>
      <c r="B36" s="38">
        <v>2.5</v>
      </c>
      <c r="C36" s="39" t="s">
        <v>7</v>
      </c>
      <c r="D36" s="40"/>
      <c r="E36" s="40"/>
      <c r="F36" s="40"/>
      <c r="G36" s="40"/>
      <c r="H36" s="40"/>
      <c r="I36" s="41" t="str">
        <f t="shared" si="6"/>
        <v>#DIV/0!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75" customHeight="1">
      <c r="A37" s="1"/>
      <c r="B37" s="31"/>
      <c r="C37" s="32" t="s">
        <v>8</v>
      </c>
      <c r="D37" s="53"/>
      <c r="E37" s="53"/>
      <c r="F37" s="53"/>
      <c r="G37" s="53"/>
      <c r="H37" s="53"/>
      <c r="I37" s="54" t="str">
        <f t="shared" si="6"/>
        <v>#DIV/0!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5">
    <mergeCell ref="B3:B4"/>
    <mergeCell ref="C3:H3"/>
    <mergeCell ref="Q3:R3"/>
    <mergeCell ref="L4:L8"/>
    <mergeCell ref="Q4:R4"/>
    <mergeCell ref="Q5:R5"/>
    <mergeCell ref="Q6:R6"/>
    <mergeCell ref="Q7:R7"/>
    <mergeCell ref="Q8:R8"/>
    <mergeCell ref="L9:L13"/>
    <mergeCell ref="Q9:R9"/>
    <mergeCell ref="Q10:R10"/>
    <mergeCell ref="Q11:R11"/>
    <mergeCell ref="Q12:R12"/>
    <mergeCell ref="B30:B31"/>
    <mergeCell ref="B32:B33"/>
    <mergeCell ref="B34:B35"/>
    <mergeCell ref="B36:B37"/>
    <mergeCell ref="Q13:R13"/>
    <mergeCell ref="B14:B15"/>
    <mergeCell ref="B16:B17"/>
    <mergeCell ref="B18:B19"/>
    <mergeCell ref="B20:B21"/>
    <mergeCell ref="B22:B23"/>
    <mergeCell ref="B28:B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2024-03-31T10:00:47Z</dcterms:created>
  <dc:creator>楊善筑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0x01010023B2DBBAF77F8440A911E5765A2CAC58</vt:lpwstr>
  </property>
</Properties>
</file>