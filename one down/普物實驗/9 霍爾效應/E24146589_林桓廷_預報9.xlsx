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hool\one down\普物實驗\9 霍爾效應\"/>
    </mc:Choice>
  </mc:AlternateContent>
  <xr:revisionPtr revIDLastSave="0" documentId="13_ncr:1_{E96B29CF-BCC4-4320-9F28-C749BEA7AB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T4" i="1"/>
  <c r="I37" i="1"/>
  <c r="P13" i="1" s="1"/>
  <c r="I29" i="1"/>
  <c r="P9" i="1" s="1"/>
  <c r="I30" i="1"/>
  <c r="O10" i="1" s="1"/>
  <c r="I31" i="1"/>
  <c r="P10" i="1" s="1"/>
  <c r="I32" i="1"/>
  <c r="O11" i="1" s="1"/>
  <c r="I33" i="1"/>
  <c r="P11" i="1" s="1"/>
  <c r="I34" i="1"/>
  <c r="O12" i="1" s="1"/>
  <c r="I35" i="1"/>
  <c r="P12" i="1" s="1"/>
  <c r="I36" i="1"/>
  <c r="O13" i="1" s="1"/>
  <c r="I28" i="1"/>
  <c r="O9" i="1" s="1"/>
  <c r="I15" i="1"/>
  <c r="P4" i="1" s="1"/>
  <c r="I16" i="1"/>
  <c r="O5" i="1" s="1"/>
  <c r="I17" i="1"/>
  <c r="P5" i="1" s="1"/>
  <c r="I18" i="1"/>
  <c r="O6" i="1" s="1"/>
  <c r="I19" i="1"/>
  <c r="P6" i="1" s="1"/>
  <c r="I20" i="1"/>
  <c r="O7" i="1" s="1"/>
  <c r="I21" i="1"/>
  <c r="P7" i="1" s="1"/>
  <c r="I22" i="1"/>
  <c r="O8" i="1" s="1"/>
  <c r="I23" i="1"/>
  <c r="P8" i="1" s="1"/>
  <c r="I14" i="1"/>
  <c r="O4" i="1" s="1"/>
  <c r="H6" i="1"/>
  <c r="N10" i="1" s="1"/>
  <c r="H7" i="1"/>
  <c r="N11" i="1" s="1"/>
  <c r="H8" i="1"/>
  <c r="N12" i="1" s="1"/>
  <c r="H9" i="1"/>
  <c r="N13" i="1" s="1"/>
  <c r="H5" i="1"/>
  <c r="N4" i="1" s="1"/>
  <c r="N8" i="1" l="1"/>
  <c r="Q10" i="1"/>
  <c r="Q11" i="1"/>
  <c r="Q12" i="1"/>
  <c r="Q13" i="1"/>
  <c r="Q4" i="1"/>
  <c r="N7" i="1"/>
  <c r="Q7" i="1" s="1"/>
  <c r="N6" i="1"/>
  <c r="Q6" i="1" s="1"/>
  <c r="N5" i="1"/>
  <c r="Q5" i="1" s="1"/>
  <c r="N9" i="1"/>
  <c r="Q9" i="1" s="1"/>
  <c r="Q8" i="1"/>
</calcChain>
</file>

<file path=xl/sharedStrings.xml><?xml version="1.0" encoding="utf-8"?>
<sst xmlns="http://schemas.openxmlformats.org/spreadsheetml/2006/main" count="56" uniqueCount="20">
  <si>
    <t>A：尋找特定距離下的磁場大小</t>
  </si>
  <si>
    <t>C：載體濃度</t>
  </si>
  <si>
    <t>d(cm)</t>
  </si>
  <si>
    <t>磁場B(T)</t>
  </si>
  <si>
    <t>晶片類型</t>
  </si>
  <si>
    <t>B(T)</t>
  </si>
  <si>
    <t>I(mA)</t>
  </si>
  <si>
    <t>V(mV)</t>
  </si>
  <si>
    <t>第1次</t>
  </si>
  <si>
    <t>第2次</t>
  </si>
  <si>
    <t>第3次</t>
  </si>
  <si>
    <t>第4次</t>
  </si>
  <si>
    <t>第5次</t>
  </si>
  <si>
    <t>平均值</t>
  </si>
  <si>
    <t>紅色型</t>
  </si>
  <si>
    <t>黑色型</t>
  </si>
  <si>
    <t>測量值</t>
  </si>
  <si>
    <r>
      <t>載體濃度n(m</t>
    </r>
    <r>
      <rPr>
        <sz val="12"/>
        <color theme="1"/>
        <rFont val="Arial"/>
        <family val="2"/>
      </rPr>
      <t>-3)</t>
    </r>
  </si>
  <si>
    <r>
      <t>B：紀錄電流I、電壓V</t>
    </r>
    <r>
      <rPr>
        <sz val="12"/>
        <color rgb="FFFF0000"/>
        <rFont val="Arial"/>
        <family val="2"/>
      </rPr>
      <t>(紅色型)</t>
    </r>
  </si>
  <si>
    <r>
      <t>B：紀錄電流I、電壓V</t>
    </r>
    <r>
      <rPr>
        <sz val="12"/>
        <color rgb="FFFF0000"/>
        <rFont val="Arial"/>
        <family val="2"/>
      </rPr>
      <t>(黑色型)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</si>
</sst>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</c:v>
          </c:tx>
          <c:marker>
            <c:symbol val="none"/>
          </c:marker>
          <c:cat>
            <c:numRef>
              <c:f>Sheet1!$N$4:$N$8</c:f>
              <c:numCache>
                <c:formatCode>General</c:formatCode>
                <c:ptCount val="5"/>
                <c:pt idx="0">
                  <c:v>0.21999999999999997</c:v>
                </c:pt>
                <c:pt idx="1">
                  <c:v>0.17033199999999998</c:v>
                </c:pt>
                <c:pt idx="2">
                  <c:v>0.139484</c:v>
                </c:pt>
                <c:pt idx="3">
                  <c:v>0.118452</c:v>
                </c:pt>
                <c:pt idx="4">
                  <c:v>0.10728200000000002</c:v>
                </c:pt>
              </c:numCache>
            </c:numRef>
          </c:cat>
          <c:val>
            <c:numRef>
              <c:f>Sheet1!$P$4:$P$8</c:f>
              <c:numCache>
                <c:formatCode>General</c:formatCode>
                <c:ptCount val="5"/>
                <c:pt idx="0">
                  <c:v>65.58</c:v>
                </c:pt>
                <c:pt idx="1">
                  <c:v>51.160000000000004</c:v>
                </c:pt>
                <c:pt idx="2">
                  <c:v>43.1</c:v>
                </c:pt>
                <c:pt idx="3">
                  <c:v>38.44</c:v>
                </c:pt>
                <c:pt idx="4">
                  <c:v>34.6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5-4C8A-90BF-32F473C45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47200"/>
        <c:axId val="147748736"/>
      </c:lineChart>
      <c:catAx>
        <c:axId val="14774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748736"/>
        <c:crosses val="autoZero"/>
        <c:auto val="1"/>
        <c:lblAlgn val="ctr"/>
        <c:lblOffset val="100"/>
        <c:noMultiLvlLbl val="0"/>
      </c:catAx>
      <c:valAx>
        <c:axId val="14774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747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Sheet1!$N$9:$N$13</c:f>
              <c:strCache>
                <c:ptCount val="5"/>
                <c:pt idx="0">
                  <c:v>0.22</c:v>
                </c:pt>
                <c:pt idx="1">
                  <c:v>0.170332</c:v>
                </c:pt>
                <c:pt idx="2">
                  <c:v>0.139484</c:v>
                </c:pt>
                <c:pt idx="3">
                  <c:v>0.118452</c:v>
                </c:pt>
                <c:pt idx="4">
                  <c:v>0.107282</c:v>
                </c:pt>
              </c:strCache>
            </c:strRef>
          </c:tx>
          <c:marker>
            <c:symbol val="none"/>
          </c:marker>
          <c:cat>
            <c:numRef>
              <c:f>Sheet1!$N$9:$N$13</c:f>
              <c:numCache>
                <c:formatCode>General</c:formatCode>
                <c:ptCount val="5"/>
                <c:pt idx="0">
                  <c:v>0.21999999999999997</c:v>
                </c:pt>
                <c:pt idx="1">
                  <c:v>0.17033199999999998</c:v>
                </c:pt>
                <c:pt idx="2">
                  <c:v>0.139484</c:v>
                </c:pt>
                <c:pt idx="3">
                  <c:v>0.118452</c:v>
                </c:pt>
                <c:pt idx="4">
                  <c:v>0.10728200000000002</c:v>
                </c:pt>
              </c:numCache>
            </c:numRef>
          </c:cat>
          <c:val>
            <c:numRef>
              <c:f>Sheet1!$P$9:$P$13</c:f>
              <c:numCache>
                <c:formatCode>General</c:formatCode>
                <c:ptCount val="5"/>
                <c:pt idx="0">
                  <c:v>-80.8</c:v>
                </c:pt>
                <c:pt idx="1">
                  <c:v>-64.099999999999994</c:v>
                </c:pt>
                <c:pt idx="2">
                  <c:v>-53.3</c:v>
                </c:pt>
                <c:pt idx="3">
                  <c:v>-46.3</c:v>
                </c:pt>
                <c:pt idx="4">
                  <c:v>-41.1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7-44B2-BC1A-56890B856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60064"/>
        <c:axId val="165161600"/>
      </c:lineChart>
      <c:catAx>
        <c:axId val="16516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5161600"/>
        <c:crosses val="autoZero"/>
        <c:auto val="1"/>
        <c:lblAlgn val="ctr"/>
        <c:lblOffset val="100"/>
        <c:noMultiLvlLbl val="0"/>
      </c:catAx>
      <c:valAx>
        <c:axId val="165161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160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15</xdr:row>
      <xdr:rowOff>30480</xdr:rowOff>
    </xdr:from>
    <xdr:to>
      <xdr:col>18</xdr:col>
      <xdr:colOff>312420</xdr:colOff>
      <xdr:row>28</xdr:row>
      <xdr:rowOff>99060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392137</xdr:colOff>
      <xdr:row>15</xdr:row>
      <xdr:rowOff>30480</xdr:rowOff>
    </xdr:from>
    <xdr:to>
      <xdr:col>26</xdr:col>
      <xdr:colOff>87337</xdr:colOff>
      <xdr:row>28</xdr:row>
      <xdr:rowOff>98473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37"/>
  <sheetViews>
    <sheetView tabSelected="1" topLeftCell="D1" zoomScale="130" zoomScaleNormal="130" workbookViewId="0">
      <selection activeCell="U13" sqref="U13"/>
    </sheetView>
  </sheetViews>
  <sheetFormatPr defaultRowHeight="16.2" x14ac:dyDescent="0.3"/>
  <cols>
    <col min="20" max="20" width="13.33203125" bestFit="1" customWidth="1"/>
  </cols>
  <sheetData>
    <row r="2" spans="2:21" x14ac:dyDescent="0.3">
      <c r="B2" s="1" t="s">
        <v>0</v>
      </c>
      <c r="C2" s="1"/>
      <c r="D2" s="1"/>
      <c r="E2" s="1"/>
      <c r="F2" s="1"/>
      <c r="G2" s="1"/>
      <c r="H2" s="1"/>
      <c r="L2" s="1" t="s">
        <v>1</v>
      </c>
      <c r="M2" s="1"/>
      <c r="N2" s="1"/>
      <c r="O2" s="1"/>
      <c r="P2" s="1"/>
      <c r="Q2" s="1"/>
      <c r="R2" s="1"/>
    </row>
    <row r="3" spans="2:21" x14ac:dyDescent="0.3">
      <c r="B3" s="2" t="s">
        <v>2</v>
      </c>
      <c r="C3" s="2" t="s">
        <v>3</v>
      </c>
      <c r="D3" s="2"/>
      <c r="E3" s="2"/>
      <c r="F3" s="2"/>
      <c r="G3" s="2"/>
      <c r="H3" s="2"/>
      <c r="L3" s="1" t="s">
        <v>4</v>
      </c>
      <c r="M3" s="1" t="s">
        <v>2</v>
      </c>
      <c r="N3" s="1" t="s">
        <v>5</v>
      </c>
      <c r="O3" s="1" t="s">
        <v>6</v>
      </c>
      <c r="P3" s="1" t="s">
        <v>7</v>
      </c>
      <c r="Q3" s="2" t="s">
        <v>17</v>
      </c>
      <c r="R3" s="2"/>
    </row>
    <row r="4" spans="2:21" x14ac:dyDescent="0.3">
      <c r="B4" s="2"/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L4" s="2" t="s">
        <v>14</v>
      </c>
      <c r="M4" s="1">
        <v>0.5</v>
      </c>
      <c r="N4" s="1">
        <f>H5</f>
        <v>0.21999999999999997</v>
      </c>
      <c r="O4" s="1">
        <f>I14</f>
        <v>27.901999999999997</v>
      </c>
      <c r="P4" s="1">
        <f>I15</f>
        <v>65.58</v>
      </c>
      <c r="Q4" s="2">
        <f xml:space="preserve"> ABS(N4*O4/((1.6*10^-19)*P4*0.001))</f>
        <v>5.8501448612381806E+20</v>
      </c>
      <c r="R4" s="2"/>
      <c r="T4" s="4">
        <f>AVERAGE(Q4:R8)</f>
        <v>5.5144187095629064E+20</v>
      </c>
      <c r="U4" s="4"/>
    </row>
    <row r="5" spans="2:21" x14ac:dyDescent="0.3">
      <c r="B5" s="1">
        <v>0.5</v>
      </c>
      <c r="C5" s="1">
        <v>0.22009000000000001</v>
      </c>
      <c r="D5" s="1">
        <v>0.22087000000000001</v>
      </c>
      <c r="E5" s="1">
        <v>0.22022</v>
      </c>
      <c r="F5" s="1">
        <v>0.21865999999999999</v>
      </c>
      <c r="G5" s="1">
        <v>0.22015999999999999</v>
      </c>
      <c r="H5" s="1">
        <f>AVERAGE(C5:G5)</f>
        <v>0.21999999999999997</v>
      </c>
      <c r="L5" s="2"/>
      <c r="M5" s="1">
        <v>1</v>
      </c>
      <c r="N5" s="1">
        <f>H6</f>
        <v>0.17033199999999998</v>
      </c>
      <c r="O5" s="1">
        <f>I16</f>
        <v>27.038</v>
      </c>
      <c r="P5" s="1">
        <f>I17</f>
        <v>51.160000000000004</v>
      </c>
      <c r="Q5" s="2">
        <f t="shared" ref="Q5:Q13" si="0" xml:space="preserve"> ABS(N5*O5/((1.6*10^-19)*P5*0.001))</f>
        <v>5.626266389757621E+20</v>
      </c>
      <c r="R5" s="2"/>
      <c r="T5" s="4"/>
      <c r="U5" s="4"/>
    </row>
    <row r="6" spans="2:21" x14ac:dyDescent="0.3">
      <c r="B6" s="1">
        <v>1</v>
      </c>
      <c r="C6" s="1">
        <v>0.16814999999999999</v>
      </c>
      <c r="D6" s="1">
        <v>0.16883000000000001</v>
      </c>
      <c r="E6" s="1">
        <v>0.17193</v>
      </c>
      <c r="F6" s="1">
        <v>0.17152999999999999</v>
      </c>
      <c r="G6" s="1">
        <v>0.17122000000000001</v>
      </c>
      <c r="H6" s="1">
        <f t="shared" ref="H6:H9" si="1">AVERAGE(C6:G6)</f>
        <v>0.17033199999999998</v>
      </c>
      <c r="L6" s="2"/>
      <c r="M6" s="1">
        <v>1.5</v>
      </c>
      <c r="N6" s="1">
        <f t="shared" ref="N6:N8" si="2">H7</f>
        <v>0.139484</v>
      </c>
      <c r="O6" s="1">
        <f>I18</f>
        <v>27.098000000000003</v>
      </c>
      <c r="P6" s="1">
        <f>I19</f>
        <v>43.1</v>
      </c>
      <c r="Q6" s="2">
        <f t="shared" si="0"/>
        <v>5.4810577610208805E+20</v>
      </c>
      <c r="R6" s="2"/>
      <c r="T6" s="4"/>
      <c r="U6" s="4"/>
    </row>
    <row r="7" spans="2:21" x14ac:dyDescent="0.3">
      <c r="B7" s="1">
        <v>1.5</v>
      </c>
      <c r="C7" s="1">
        <v>0.14032</v>
      </c>
      <c r="D7" s="1">
        <v>0.13885</v>
      </c>
      <c r="E7" s="1">
        <v>0.1384</v>
      </c>
      <c r="F7" s="1">
        <v>0.14015</v>
      </c>
      <c r="G7" s="1">
        <v>0.13969999999999999</v>
      </c>
      <c r="H7" s="1">
        <f t="shared" si="1"/>
        <v>0.139484</v>
      </c>
      <c r="L7" s="2"/>
      <c r="M7" s="1">
        <v>2</v>
      </c>
      <c r="N7" s="1">
        <f t="shared" si="2"/>
        <v>0.118452</v>
      </c>
      <c r="O7" s="1">
        <f>I20</f>
        <v>27.201999999999998</v>
      </c>
      <c r="P7" s="1">
        <f>I21</f>
        <v>38.44</v>
      </c>
      <c r="Q7" s="2">
        <f t="shared" si="0"/>
        <v>5.2388971514047863E+20</v>
      </c>
      <c r="R7" s="2"/>
      <c r="T7" s="4"/>
      <c r="U7" s="4"/>
    </row>
    <row r="8" spans="2:21" x14ac:dyDescent="0.3">
      <c r="B8" s="1">
        <v>2</v>
      </c>
      <c r="C8" s="1">
        <v>0.11632000000000001</v>
      </c>
      <c r="D8" s="1">
        <v>0.11992999999999999</v>
      </c>
      <c r="E8" s="1">
        <v>0.11779000000000001</v>
      </c>
      <c r="F8" s="1">
        <v>0.11937</v>
      </c>
      <c r="G8" s="1">
        <v>0.11885</v>
      </c>
      <c r="H8" s="1">
        <f t="shared" si="1"/>
        <v>0.118452</v>
      </c>
      <c r="L8" s="2"/>
      <c r="M8" s="1">
        <v>2.5</v>
      </c>
      <c r="N8" s="1">
        <f t="shared" si="2"/>
        <v>0.10728200000000002</v>
      </c>
      <c r="O8" s="1">
        <f>I22</f>
        <v>27.74</v>
      </c>
      <c r="P8" s="1">
        <f>I23</f>
        <v>34.6</v>
      </c>
      <c r="Q8" s="2">
        <f t="shared" si="0"/>
        <v>5.3757273843930635E+20</v>
      </c>
      <c r="R8" s="2"/>
      <c r="T8" s="4"/>
      <c r="U8" s="4"/>
    </row>
    <row r="9" spans="2:21" x14ac:dyDescent="0.3">
      <c r="B9" s="1">
        <v>2.5</v>
      </c>
      <c r="C9" s="1">
        <v>0.10783</v>
      </c>
      <c r="D9" s="1">
        <v>0.1087</v>
      </c>
      <c r="E9" s="1">
        <v>0.10602</v>
      </c>
      <c r="F9" s="1">
        <v>0.10750999999999999</v>
      </c>
      <c r="G9" s="1">
        <v>0.10635</v>
      </c>
      <c r="H9" s="1">
        <f t="shared" si="1"/>
        <v>0.10728200000000002</v>
      </c>
      <c r="L9" s="2" t="s">
        <v>15</v>
      </c>
      <c r="M9" s="1">
        <v>0.5</v>
      </c>
      <c r="N9" s="1">
        <f>H5</f>
        <v>0.21999999999999997</v>
      </c>
      <c r="O9" s="1">
        <f>I28</f>
        <v>24.82</v>
      </c>
      <c r="P9" s="1">
        <f>I29</f>
        <v>-80.8</v>
      </c>
      <c r="Q9" s="2">
        <f t="shared" si="0"/>
        <v>4.2237004950495035E+20</v>
      </c>
      <c r="R9" s="2"/>
      <c r="T9" s="4">
        <f>AVERAGE(Q9:R13)</f>
        <v>4.0966620867808572E+20</v>
      </c>
      <c r="U9" s="3"/>
    </row>
    <row r="10" spans="2:21" x14ac:dyDescent="0.3">
      <c r="L10" s="2"/>
      <c r="M10" s="1">
        <v>1</v>
      </c>
      <c r="N10" s="1">
        <f>H6</f>
        <v>0.17033199999999998</v>
      </c>
      <c r="O10" s="1">
        <f>I30</f>
        <v>24.87</v>
      </c>
      <c r="P10" s="1">
        <f>I31</f>
        <v>-64.099999999999994</v>
      </c>
      <c r="Q10" s="2">
        <f t="shared" si="0"/>
        <v>4.1304181357254286E+20</v>
      </c>
      <c r="R10" s="2"/>
      <c r="T10" s="3"/>
      <c r="U10" s="3"/>
    </row>
    <row r="11" spans="2:21" x14ac:dyDescent="0.3">
      <c r="L11" s="2"/>
      <c r="M11" s="1">
        <v>1.5</v>
      </c>
      <c r="N11" s="1">
        <f>H7</f>
        <v>0.139484</v>
      </c>
      <c r="O11" s="1">
        <f>I32</f>
        <v>24.86</v>
      </c>
      <c r="P11" s="1">
        <f>I33</f>
        <v>-53.3</v>
      </c>
      <c r="Q11" s="2">
        <f t="shared" si="0"/>
        <v>4.0661025328330211E+20</v>
      </c>
      <c r="R11" s="2"/>
    </row>
    <row r="12" spans="2:21" x14ac:dyDescent="0.3">
      <c r="B12" s="1" t="s">
        <v>18</v>
      </c>
      <c r="C12" s="1"/>
      <c r="D12" s="1"/>
      <c r="E12" s="1"/>
      <c r="F12" s="1"/>
      <c r="G12" s="1"/>
      <c r="H12" s="1"/>
      <c r="I12" s="1"/>
      <c r="L12" s="2"/>
      <c r="M12" s="1">
        <v>2</v>
      </c>
      <c r="N12" s="1">
        <f t="shared" ref="N12:N13" si="3">H8</f>
        <v>0.118452</v>
      </c>
      <c r="O12" s="1">
        <f>I34</f>
        <v>24.95</v>
      </c>
      <c r="P12" s="1">
        <f>I35</f>
        <v>-46.3</v>
      </c>
      <c r="Q12" s="2">
        <f t="shared" si="0"/>
        <v>3.9894403347732182E+20</v>
      </c>
      <c r="R12" s="2"/>
    </row>
    <row r="13" spans="2:21" x14ac:dyDescent="0.3">
      <c r="B13" s="1" t="s">
        <v>2</v>
      </c>
      <c r="C13" s="1" t="s">
        <v>16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L13" s="2"/>
      <c r="M13" s="1">
        <v>2.5</v>
      </c>
      <c r="N13" s="1">
        <f t="shared" si="3"/>
        <v>0.10728200000000002</v>
      </c>
      <c r="O13" s="1">
        <f>I36</f>
        <v>24.97</v>
      </c>
      <c r="P13" s="1">
        <f>I37</f>
        <v>-41.1</v>
      </c>
      <c r="Q13" s="2">
        <f t="shared" si="0"/>
        <v>4.0736489355231147E+20</v>
      </c>
      <c r="R13" s="2"/>
    </row>
    <row r="14" spans="2:21" x14ac:dyDescent="0.3">
      <c r="B14" s="2">
        <v>0.5</v>
      </c>
      <c r="C14" s="1" t="s">
        <v>6</v>
      </c>
      <c r="D14" s="1">
        <v>27.94</v>
      </c>
      <c r="E14" s="1">
        <v>27.89</v>
      </c>
      <c r="F14" s="1">
        <v>27.9</v>
      </c>
      <c r="G14" s="1">
        <v>27.89</v>
      </c>
      <c r="H14" s="1">
        <v>27.89</v>
      </c>
      <c r="I14" s="1">
        <f>AVERAGE(D14:H14)</f>
        <v>27.901999999999997</v>
      </c>
    </row>
    <row r="15" spans="2:21" x14ac:dyDescent="0.3">
      <c r="B15" s="2"/>
      <c r="C15" s="1" t="s">
        <v>7</v>
      </c>
      <c r="D15" s="1">
        <v>65.599999999999994</v>
      </c>
      <c r="E15" s="1">
        <v>65.5</v>
      </c>
      <c r="F15" s="1">
        <v>65.599999999999994</v>
      </c>
      <c r="G15" s="1">
        <v>65.599999999999994</v>
      </c>
      <c r="H15" s="1">
        <v>65.599999999999994</v>
      </c>
      <c r="I15" s="1">
        <f>AVERAGE(D15:H15)</f>
        <v>65.58</v>
      </c>
    </row>
    <row r="16" spans="2:21" x14ac:dyDescent="0.3">
      <c r="B16" s="2">
        <v>1</v>
      </c>
      <c r="C16" s="1" t="s">
        <v>6</v>
      </c>
      <c r="D16" s="1">
        <v>27.02</v>
      </c>
      <c r="E16" s="1">
        <v>27.04</v>
      </c>
      <c r="F16" s="1">
        <v>27.04</v>
      </c>
      <c r="G16" s="1">
        <v>27.06</v>
      </c>
      <c r="H16" s="1">
        <v>27.03</v>
      </c>
      <c r="I16" s="1">
        <f t="shared" ref="I16:I23" si="4">AVERAGE(D16:H16)</f>
        <v>27.038</v>
      </c>
    </row>
    <row r="17" spans="2:9" x14ac:dyDescent="0.3">
      <c r="B17" s="2"/>
      <c r="C17" s="1" t="s">
        <v>7</v>
      </c>
      <c r="D17" s="1">
        <v>51.2</v>
      </c>
      <c r="E17" s="1">
        <v>51.2</v>
      </c>
      <c r="F17" s="1">
        <v>51.2</v>
      </c>
      <c r="G17" s="1">
        <v>51.1</v>
      </c>
      <c r="H17" s="1">
        <v>51.1</v>
      </c>
      <c r="I17" s="1">
        <f t="shared" si="4"/>
        <v>51.160000000000004</v>
      </c>
    </row>
    <row r="18" spans="2:9" x14ac:dyDescent="0.3">
      <c r="B18" s="2">
        <v>1.5</v>
      </c>
      <c r="C18" s="1" t="s">
        <v>6</v>
      </c>
      <c r="D18" s="1">
        <v>27.1</v>
      </c>
      <c r="E18" s="1">
        <v>27.12</v>
      </c>
      <c r="F18" s="1">
        <v>27.09</v>
      </c>
      <c r="G18" s="1">
        <v>27.06</v>
      </c>
      <c r="H18" s="1">
        <v>27.12</v>
      </c>
      <c r="I18" s="1">
        <f t="shared" si="4"/>
        <v>27.098000000000003</v>
      </c>
    </row>
    <row r="19" spans="2:9" x14ac:dyDescent="0.3">
      <c r="B19" s="2"/>
      <c r="C19" s="1" t="s">
        <v>7</v>
      </c>
      <c r="D19" s="1">
        <v>43.1</v>
      </c>
      <c r="E19" s="1">
        <v>43.1</v>
      </c>
      <c r="F19" s="1">
        <v>43.1</v>
      </c>
      <c r="G19" s="1">
        <v>43.1</v>
      </c>
      <c r="H19" s="1">
        <v>43.1</v>
      </c>
      <c r="I19" s="1">
        <f t="shared" si="4"/>
        <v>43.1</v>
      </c>
    </row>
    <row r="20" spans="2:9" x14ac:dyDescent="0.3">
      <c r="B20" s="2">
        <v>2</v>
      </c>
      <c r="C20" s="1" t="s">
        <v>6</v>
      </c>
      <c r="D20" s="1">
        <v>27.2</v>
      </c>
      <c r="E20" s="1">
        <v>27.2</v>
      </c>
      <c r="F20" s="1">
        <v>27.18</v>
      </c>
      <c r="G20" s="1">
        <v>27.21</v>
      </c>
      <c r="H20" s="1">
        <v>27.22</v>
      </c>
      <c r="I20" s="1">
        <f t="shared" si="4"/>
        <v>27.201999999999998</v>
      </c>
    </row>
    <row r="21" spans="2:9" x14ac:dyDescent="0.3">
      <c r="B21" s="2"/>
      <c r="C21" s="1" t="s">
        <v>7</v>
      </c>
      <c r="D21" s="1">
        <v>37.799999999999997</v>
      </c>
      <c r="E21" s="1">
        <v>38.6</v>
      </c>
      <c r="F21" s="1">
        <v>38.6</v>
      </c>
      <c r="G21" s="1">
        <v>38.6</v>
      </c>
      <c r="H21" s="1">
        <v>38.6</v>
      </c>
      <c r="I21" s="1">
        <f t="shared" si="4"/>
        <v>38.44</v>
      </c>
    </row>
    <row r="22" spans="2:9" x14ac:dyDescent="0.3">
      <c r="B22" s="2">
        <v>2.5</v>
      </c>
      <c r="C22" s="1" t="s">
        <v>6</v>
      </c>
      <c r="D22" s="1">
        <v>27.74</v>
      </c>
      <c r="E22" s="1">
        <v>27.74</v>
      </c>
      <c r="F22" s="1">
        <v>27.74</v>
      </c>
      <c r="G22" s="1">
        <v>27.74</v>
      </c>
      <c r="H22" s="1">
        <v>27.74</v>
      </c>
      <c r="I22" s="1">
        <f t="shared" si="4"/>
        <v>27.74</v>
      </c>
    </row>
    <row r="23" spans="2:9" x14ac:dyDescent="0.3">
      <c r="B23" s="2"/>
      <c r="C23" s="1" t="s">
        <v>7</v>
      </c>
      <c r="D23" s="1">
        <v>34.6</v>
      </c>
      <c r="E23" s="1">
        <v>34.6</v>
      </c>
      <c r="F23" s="1">
        <v>34.6</v>
      </c>
      <c r="G23" s="1">
        <v>34.6</v>
      </c>
      <c r="H23" s="1">
        <v>34.6</v>
      </c>
      <c r="I23" s="1">
        <f t="shared" si="4"/>
        <v>34.6</v>
      </c>
    </row>
    <row r="26" spans="2:9" x14ac:dyDescent="0.3">
      <c r="B26" s="1" t="s">
        <v>19</v>
      </c>
      <c r="C26" s="1"/>
      <c r="D26" s="1"/>
      <c r="E26" s="1"/>
      <c r="F26" s="1"/>
      <c r="G26" s="1"/>
      <c r="H26" s="1"/>
      <c r="I26" s="1"/>
    </row>
    <row r="27" spans="2:9" x14ac:dyDescent="0.3">
      <c r="B27" s="1" t="s">
        <v>2</v>
      </c>
      <c r="C27" s="1" t="s">
        <v>16</v>
      </c>
      <c r="D27" s="1" t="s">
        <v>8</v>
      </c>
      <c r="E27" s="1" t="s">
        <v>9</v>
      </c>
      <c r="F27" s="1" t="s">
        <v>10</v>
      </c>
      <c r="G27" s="1" t="s">
        <v>11</v>
      </c>
      <c r="H27" s="1" t="s">
        <v>12</v>
      </c>
      <c r="I27" s="1" t="s">
        <v>13</v>
      </c>
    </row>
    <row r="28" spans="2:9" x14ac:dyDescent="0.3">
      <c r="B28" s="2">
        <v>0.5</v>
      </c>
      <c r="C28" s="1" t="s">
        <v>6</v>
      </c>
      <c r="D28" s="1">
        <v>24.82</v>
      </c>
      <c r="E28" s="1">
        <v>24.82</v>
      </c>
      <c r="F28" s="1">
        <v>24.82</v>
      </c>
      <c r="G28" s="1">
        <v>24.82</v>
      </c>
      <c r="H28" s="1">
        <v>24.82</v>
      </c>
      <c r="I28" s="1">
        <f>AVERAGE(D28:H28)</f>
        <v>24.82</v>
      </c>
    </row>
    <row r="29" spans="2:9" x14ac:dyDescent="0.3">
      <c r="B29" s="2"/>
      <c r="C29" s="1" t="s">
        <v>7</v>
      </c>
      <c r="D29" s="1">
        <v>-80.8</v>
      </c>
      <c r="E29" s="1">
        <v>-80.8</v>
      </c>
      <c r="F29" s="1">
        <v>-80.8</v>
      </c>
      <c r="G29" s="1">
        <v>-80.8</v>
      </c>
      <c r="H29" s="1">
        <v>-80.8</v>
      </c>
      <c r="I29" s="1">
        <f t="shared" ref="I29:I37" si="5">AVERAGE(D29:H29)</f>
        <v>-80.8</v>
      </c>
    </row>
    <row r="30" spans="2:9" x14ac:dyDescent="0.3">
      <c r="B30" s="2">
        <v>1</v>
      </c>
      <c r="C30" s="1" t="s">
        <v>6</v>
      </c>
      <c r="D30" s="1">
        <v>24.87</v>
      </c>
      <c r="E30" s="1">
        <v>24.87</v>
      </c>
      <c r="F30" s="1">
        <v>24.87</v>
      </c>
      <c r="G30" s="1">
        <v>24.87</v>
      </c>
      <c r="H30" s="1">
        <v>24.87</v>
      </c>
      <c r="I30" s="1">
        <f t="shared" si="5"/>
        <v>24.87</v>
      </c>
    </row>
    <row r="31" spans="2:9" x14ac:dyDescent="0.3">
      <c r="B31" s="2"/>
      <c r="C31" s="1" t="s">
        <v>7</v>
      </c>
      <c r="D31" s="1">
        <v>-64.099999999999994</v>
      </c>
      <c r="E31" s="1">
        <v>-64.099999999999994</v>
      </c>
      <c r="F31" s="1">
        <v>-64.099999999999994</v>
      </c>
      <c r="G31" s="1">
        <v>-64.099999999999994</v>
      </c>
      <c r="H31" s="1">
        <v>-64.099999999999994</v>
      </c>
      <c r="I31" s="1">
        <f t="shared" si="5"/>
        <v>-64.099999999999994</v>
      </c>
    </row>
    <row r="32" spans="2:9" x14ac:dyDescent="0.3">
      <c r="B32" s="2">
        <v>1.5</v>
      </c>
      <c r="C32" s="1" t="s">
        <v>6</v>
      </c>
      <c r="D32" s="1">
        <v>24.86</v>
      </c>
      <c r="E32" s="1">
        <v>24.86</v>
      </c>
      <c r="F32" s="1">
        <v>24.86</v>
      </c>
      <c r="G32" s="1">
        <v>24.86</v>
      </c>
      <c r="H32" s="1">
        <v>24.86</v>
      </c>
      <c r="I32" s="1">
        <f t="shared" si="5"/>
        <v>24.86</v>
      </c>
    </row>
    <row r="33" spans="2:9" x14ac:dyDescent="0.3">
      <c r="B33" s="2"/>
      <c r="C33" s="1" t="s">
        <v>7</v>
      </c>
      <c r="D33" s="1">
        <v>-53.3</v>
      </c>
      <c r="E33" s="1">
        <v>-53.3</v>
      </c>
      <c r="F33" s="1">
        <v>-53.3</v>
      </c>
      <c r="G33" s="1">
        <v>-53.3</v>
      </c>
      <c r="H33" s="1">
        <v>-53.3</v>
      </c>
      <c r="I33" s="1">
        <f t="shared" si="5"/>
        <v>-53.3</v>
      </c>
    </row>
    <row r="34" spans="2:9" x14ac:dyDescent="0.3">
      <c r="B34" s="2">
        <v>2</v>
      </c>
      <c r="C34" s="1" t="s">
        <v>6</v>
      </c>
      <c r="D34" s="1">
        <v>24.95</v>
      </c>
      <c r="E34" s="1">
        <v>24.95</v>
      </c>
      <c r="F34" s="1">
        <v>24.95</v>
      </c>
      <c r="G34" s="1">
        <v>24.95</v>
      </c>
      <c r="H34" s="1">
        <v>24.95</v>
      </c>
      <c r="I34" s="1">
        <f t="shared" si="5"/>
        <v>24.95</v>
      </c>
    </row>
    <row r="35" spans="2:9" x14ac:dyDescent="0.3">
      <c r="B35" s="2"/>
      <c r="C35" s="1" t="s">
        <v>7</v>
      </c>
      <c r="D35" s="1">
        <v>-46.3</v>
      </c>
      <c r="E35" s="1">
        <v>-46.3</v>
      </c>
      <c r="F35" s="1">
        <v>-46.3</v>
      </c>
      <c r="G35" s="1">
        <v>-46.3</v>
      </c>
      <c r="H35" s="1">
        <v>-46.3</v>
      </c>
      <c r="I35" s="1">
        <f t="shared" si="5"/>
        <v>-46.3</v>
      </c>
    </row>
    <row r="36" spans="2:9" x14ac:dyDescent="0.3">
      <c r="B36" s="2">
        <v>2.5</v>
      </c>
      <c r="C36" s="1" t="s">
        <v>6</v>
      </c>
      <c r="D36" s="1">
        <v>24.97</v>
      </c>
      <c r="E36" s="1">
        <v>24.97</v>
      </c>
      <c r="F36" s="1">
        <v>24.97</v>
      </c>
      <c r="G36" s="1">
        <v>24.97</v>
      </c>
      <c r="H36" s="1">
        <v>24.97</v>
      </c>
      <c r="I36" s="1">
        <f t="shared" si="5"/>
        <v>24.97</v>
      </c>
    </row>
    <row r="37" spans="2:9" x14ac:dyDescent="0.3">
      <c r="B37" s="2"/>
      <c r="C37" s="1" t="s">
        <v>7</v>
      </c>
      <c r="D37" s="1">
        <v>-41.1</v>
      </c>
      <c r="E37" s="1">
        <v>-41.1</v>
      </c>
      <c r="F37" s="1">
        <v>-41.1</v>
      </c>
      <c r="G37" s="1">
        <v>-41.1</v>
      </c>
      <c r="H37" s="1">
        <v>-41.1</v>
      </c>
      <c r="I37" s="1">
        <f t="shared" si="5"/>
        <v>-41.1</v>
      </c>
    </row>
  </sheetData>
  <mergeCells count="25">
    <mergeCell ref="B30:B31"/>
    <mergeCell ref="B32:B33"/>
    <mergeCell ref="B34:B35"/>
    <mergeCell ref="B36:B37"/>
    <mergeCell ref="B14:B15"/>
    <mergeCell ref="B16:B17"/>
    <mergeCell ref="B18:B19"/>
    <mergeCell ref="B20:B21"/>
    <mergeCell ref="B22:B23"/>
    <mergeCell ref="B28:B29"/>
    <mergeCell ref="L9:L13"/>
    <mergeCell ref="Q9:R9"/>
    <mergeCell ref="Q10:R10"/>
    <mergeCell ref="Q11:R11"/>
    <mergeCell ref="Q12:R12"/>
    <mergeCell ref="Q13:R13"/>
    <mergeCell ref="B3:B4"/>
    <mergeCell ref="C3:H3"/>
    <mergeCell ref="Q3:R3"/>
    <mergeCell ref="L4:L8"/>
    <mergeCell ref="Q4:R4"/>
    <mergeCell ref="Q5:R5"/>
    <mergeCell ref="Q6:R6"/>
    <mergeCell ref="Q7:R7"/>
    <mergeCell ref="Q8:R8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asa_wang</cp:lastModifiedBy>
  <dcterms:created xsi:type="dcterms:W3CDTF">2026-04-19T15:07:18Z</dcterms:created>
  <dcterms:modified xsi:type="dcterms:W3CDTF">2026-04-26T16:58:18Z</dcterms:modified>
</cp:coreProperties>
</file>