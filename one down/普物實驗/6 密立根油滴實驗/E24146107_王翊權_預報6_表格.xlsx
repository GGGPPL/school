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down\普物實驗\6 密立根油滴實驗\"/>
    </mc:Choice>
  </mc:AlternateContent>
  <xr:revisionPtr revIDLastSave="0" documentId="13_ncr:1_{776E5D79-157E-46E9-90A6-4DBCB5DC7394}" xr6:coauthVersionLast="47" xr6:coauthVersionMax="47" xr10:uidLastSave="{00000000-0000-0000-0000-000000000000}"/>
  <bookViews>
    <workbookView xWindow="-110" yWindow="-110" windowWidth="25820" windowHeight="13900" xr2:uid="{DB1FF5BB-3E16-44F6-8EBE-091011F52E70}"/>
  </bookViews>
  <sheets>
    <sheet name="工作表1" sheetId="1" r:id="rId1"/>
  </sheets>
  <definedNames>
    <definedName name="_xlchart.v1.0" hidden="1">工作表1!$L$2</definedName>
    <definedName name="_xlchart.v1.1" hidden="1">工作表1!$L$3:$L$52</definedName>
    <definedName name="_xlchart.v1.10" hidden="1">工作表1!$N$2</definedName>
    <definedName name="_xlchart.v1.11" hidden="1">工作表1!$N$3:$N$52</definedName>
    <definedName name="_xlchart.v1.12" hidden="1">工作表1!$L$2</definedName>
    <definedName name="_xlchart.v1.13" hidden="1">工作表1!$L$3:$L$52</definedName>
    <definedName name="_xlchart.v1.14" hidden="1">工作表1!$M$2</definedName>
    <definedName name="_xlchart.v1.15" hidden="1">工作表1!$M$3:$M$52</definedName>
    <definedName name="_xlchart.v1.16" hidden="1">工作表1!$N$2</definedName>
    <definedName name="_xlchart.v1.17" hidden="1">工作表1!$N$3:$N$52</definedName>
    <definedName name="_xlchart.v1.18" hidden="1">工作表1!$L$2</definedName>
    <definedName name="_xlchart.v1.19" hidden="1">工作表1!$L$3:$L$52</definedName>
    <definedName name="_xlchart.v1.2" hidden="1">工作表1!$M$2</definedName>
    <definedName name="_xlchart.v1.20" hidden="1">工作表1!$M$2</definedName>
    <definedName name="_xlchart.v1.21" hidden="1">工作表1!$M$3:$M$52</definedName>
    <definedName name="_xlchart.v1.22" hidden="1">工作表1!$N$2</definedName>
    <definedName name="_xlchart.v1.23" hidden="1">工作表1!$N$3:$N$52</definedName>
    <definedName name="_xlchart.v1.24" hidden="1">工作表1!$H$3:$H$52</definedName>
    <definedName name="_xlchart.v1.25" hidden="1">工作表1!$I$3:$I$52</definedName>
    <definedName name="_xlchart.v1.26" hidden="1">工作表1!$H$3:$H$52</definedName>
    <definedName name="_xlchart.v1.27" hidden="1">工作表1!$I$3:$I$52</definedName>
    <definedName name="_xlchart.v1.3" hidden="1">工作表1!$M$3:$M$52</definedName>
    <definedName name="_xlchart.v1.4" hidden="1">工作表1!$N$2</definedName>
    <definedName name="_xlchart.v1.5" hidden="1">工作表1!$N$3:$N$52</definedName>
    <definedName name="_xlchart.v1.6" hidden="1">工作表1!$L$2</definedName>
    <definedName name="_xlchart.v1.7" hidden="1">工作表1!$L$3:$L$52</definedName>
    <definedName name="_xlchart.v1.8" hidden="1">工作表1!$M$2</definedName>
    <definedName name="_xlchart.v1.9" hidden="1">工作表1!$M$3:$M$52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 a="1"/>
  <c r="N3" i="1" s="1"/>
  <c r="H10" i="1"/>
  <c r="H19" i="1"/>
  <c r="H20" i="1"/>
  <c r="H21" i="1"/>
  <c r="H22" i="1"/>
  <c r="H27" i="1"/>
  <c r="H28" i="1"/>
  <c r="H29" i="1"/>
  <c r="H30" i="1"/>
  <c r="H35" i="1"/>
  <c r="H37" i="1"/>
  <c r="H38" i="1"/>
  <c r="H43" i="1"/>
  <c r="H44" i="1"/>
  <c r="H45" i="1"/>
  <c r="H46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F20" i="1"/>
  <c r="F21" i="1"/>
  <c r="F22" i="1"/>
  <c r="F23" i="1"/>
  <c r="H23" i="1" s="1"/>
  <c r="F24" i="1"/>
  <c r="H24" i="1" s="1"/>
  <c r="F25" i="1"/>
  <c r="H25" i="1" s="1"/>
  <c r="F26" i="1"/>
  <c r="H26" i="1" s="1"/>
  <c r="F27" i="1"/>
  <c r="F28" i="1"/>
  <c r="F29" i="1"/>
  <c r="F30" i="1"/>
  <c r="F31" i="1"/>
  <c r="H31" i="1" s="1"/>
  <c r="F32" i="1"/>
  <c r="H32" i="1" s="1"/>
  <c r="F33" i="1"/>
  <c r="H33" i="1" s="1"/>
  <c r="F34" i="1"/>
  <c r="H34" i="1" s="1"/>
  <c r="F35" i="1"/>
  <c r="F36" i="1"/>
  <c r="H36" i="1" s="1"/>
  <c r="F37" i="1"/>
  <c r="F38" i="1"/>
  <c r="F39" i="1"/>
  <c r="H39" i="1" s="1"/>
  <c r="F40" i="1"/>
  <c r="H40" i="1" s="1"/>
  <c r="F41" i="1"/>
  <c r="H41" i="1" s="1"/>
  <c r="F42" i="1"/>
  <c r="H42" i="1" s="1"/>
  <c r="F43" i="1"/>
  <c r="F44" i="1"/>
  <c r="F45" i="1"/>
  <c r="F46" i="1"/>
  <c r="F47" i="1"/>
  <c r="H47" i="1" s="1"/>
  <c r="F48" i="1"/>
  <c r="H48" i="1" s="1"/>
  <c r="F49" i="1"/>
  <c r="H49" i="1" s="1"/>
  <c r="F50" i="1"/>
  <c r="H50" i="1" s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3" i="1"/>
  <c r="H3" i="1" s="1"/>
  <c r="N50" i="1" l="1"/>
  <c r="N26" i="1"/>
  <c r="N49" i="1"/>
  <c r="N25" i="1"/>
  <c r="N48" i="1"/>
  <c r="N24" i="1"/>
  <c r="N47" i="1"/>
  <c r="N23" i="1"/>
  <c r="N46" i="1"/>
  <c r="N22" i="1"/>
  <c r="N45" i="1"/>
  <c r="N21" i="1"/>
  <c r="N44" i="1"/>
  <c r="N20" i="1"/>
  <c r="N43" i="1"/>
  <c r="N19" i="1"/>
  <c r="N42" i="1"/>
  <c r="N18" i="1"/>
  <c r="N41" i="1"/>
  <c r="N17" i="1"/>
  <c r="N40" i="1"/>
  <c r="N16" i="1"/>
  <c r="N39" i="1"/>
  <c r="N15" i="1"/>
  <c r="N38" i="1"/>
  <c r="N14" i="1"/>
  <c r="N37" i="1"/>
  <c r="N13" i="1"/>
  <c r="N36" i="1"/>
  <c r="N12" i="1"/>
  <c r="N35" i="1"/>
  <c r="N11" i="1"/>
  <c r="N34" i="1"/>
  <c r="N10" i="1"/>
  <c r="N33" i="1"/>
  <c r="N9" i="1"/>
  <c r="N32" i="1"/>
  <c r="N8" i="1"/>
  <c r="N31" i="1"/>
  <c r="N7" i="1"/>
  <c r="N30" i="1"/>
  <c r="N6" i="1"/>
  <c r="N29" i="1"/>
  <c r="N5" i="1"/>
  <c r="N52" i="1"/>
  <c r="N28" i="1"/>
  <c r="N4" i="1"/>
  <c r="N51" i="1"/>
  <c r="N27" i="1"/>
</calcChain>
</file>

<file path=xl/sharedStrings.xml><?xml version="1.0" encoding="utf-8"?>
<sst xmlns="http://schemas.openxmlformats.org/spreadsheetml/2006/main" count="10" uniqueCount="10">
  <si>
    <t>次數</t>
  </si>
  <si>
    <t>X(格數)</t>
  </si>
  <si>
    <t>S(m)</t>
  </si>
  <si>
    <t>T(s)</t>
  </si>
  <si>
    <t>Q(coulomb)</t>
  </si>
  <si>
    <t>區間</t>
  </si>
  <si>
    <t>個數</t>
  </si>
  <si>
    <t xml:space="preserve">V1(m/s) </t>
  </si>
  <si>
    <t>U0(V)</t>
  </si>
  <si>
    <t>大於5.0E-19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</si>
</sst>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DFKai-SB"/>
      <family val="4"/>
      <charset val="136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1"/>
      <name val="標楷體"/>
      <family val="4"/>
      <charset val="136"/>
    </font>
    <font>
      <sz val="11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D9F2D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EFB47B4B-4C1F-4CF9-A965-E782A27B7B23}" formatIdx="0">
          <cx:tx>
            <cx:txData>
              <cx:f>_xlchart.v1.0</cx:f>
              <cx:v>區間</cx:v>
            </cx:txData>
          </cx:tx>
          <cx:dataId val="0"/>
          <cx:layoutPr>
            <cx:binning intervalClosed="r"/>
          </cx:layoutPr>
        </cx:series>
        <cx:series layoutId="clusteredColumn" hidden="1" uniqueId="{5597F895-2740-437A-B876-2D7FD89BF48C}" formatIdx="1">
          <cx:tx>
            <cx:txData>
              <cx:f>_xlchart.v1.2</cx:f>
              <cx:v/>
            </cx:txData>
          </cx:tx>
          <cx:dataId val="1"/>
          <cx:layoutPr>
            <cx:binning intervalClosed="r"/>
          </cx:layoutPr>
        </cx:series>
        <cx:series layoutId="clusteredColumn" hidden="1" uniqueId="{13374917-7E77-4835-ADAD-B237BC2EB100}" formatIdx="2">
          <cx:tx>
            <cx:txData>
              <cx:f>_xlchart.v1.4</cx:f>
              <cx:v>個數</cx:v>
            </cx:txData>
          </cx:tx>
          <cx:dataId val="2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447477</xdr:colOff>
      <xdr:row>25</xdr:row>
      <xdr:rowOff>37306</xdr:rowOff>
    </xdr:from>
    <xdr:to>
      <xdr:col>23</xdr:col>
      <xdr:colOff>177602</xdr:colOff>
      <xdr:row>37</xdr:row>
      <xdr:rowOff>161131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圖表 4">
              <a:extLst>
                <a:ext uri="{FF2B5EF4-FFF2-40B4-BE49-F238E27FC236}">
                  <a16:creationId xmlns:a16="http://schemas.microsoft.com/office/drawing/2014/main" id="{F2C3D6D5-CF4B-E6DD-8171-6AF41FFA0B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319743" y="54943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此圖表在您的 Excel 版本中無法使用。
若編輯此圖案或將此活頁簿儲存為不同格式，將永久破壞圖表。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9739-BEEB-4B53-8EC5-6DC56A0166CA}">
  <dimension ref="B2:N102"/>
  <sheetViews>
    <sheetView tabSelected="1" topLeftCell="A13" zoomScale="64" zoomScaleNormal="64" workbookViewId="0">
      <selection activeCell="P51" sqref="P51"/>
    </sheetView>
  </sheetViews>
  <sheetFormatPr defaultRowHeight="17"/>
  <cols>
    <col min="2" max="2" width="11.81640625" customWidth="1"/>
    <col min="3" max="3" width="9" bestFit="1" customWidth="1"/>
    <col min="4" max="4" width="10.453125" bestFit="1" customWidth="1"/>
    <col min="5" max="5" width="9" bestFit="1" customWidth="1"/>
    <col min="6" max="6" width="14.1796875" bestFit="1" customWidth="1"/>
    <col min="7" max="7" width="9" bestFit="1" customWidth="1"/>
  </cols>
  <sheetData>
    <row r="2" spans="2:14">
      <c r="B2" s="2" t="s">
        <v>0</v>
      </c>
      <c r="C2" s="2" t="s">
        <v>1</v>
      </c>
      <c r="D2" s="2" t="s">
        <v>2</v>
      </c>
      <c r="E2" s="2" t="s">
        <v>3</v>
      </c>
      <c r="F2" s="3" t="s">
        <v>7</v>
      </c>
      <c r="G2" s="3" t="s">
        <v>8</v>
      </c>
      <c r="H2" s="9" t="s">
        <v>4</v>
      </c>
      <c r="I2" s="9"/>
      <c r="L2" s="8" t="s">
        <v>5</v>
      </c>
      <c r="M2" s="8"/>
      <c r="N2" s="1" t="s">
        <v>6</v>
      </c>
    </row>
    <row r="3" spans="2:14">
      <c r="B3" s="2">
        <v>1</v>
      </c>
      <c r="C3" s="2">
        <v>1</v>
      </c>
      <c r="D3" s="2">
        <v>3.8200000000000002E-4</v>
      </c>
      <c r="E3" s="4">
        <v>22.8</v>
      </c>
      <c r="F3" s="2">
        <f>D3/E3</f>
        <v>1.6754385964912282E-5</v>
      </c>
      <c r="G3" s="5">
        <v>72.3</v>
      </c>
      <c r="H3" s="9">
        <f>1.945*10^-10*F3^1.5/G3</f>
        <v>1.8449053158903017E-19</v>
      </c>
      <c r="I3" s="9"/>
      <c r="L3" s="7">
        <v>9.9999999999999995E-21</v>
      </c>
      <c r="M3" s="7"/>
      <c r="N3" s="1">
        <f t="array" ref="N3:N52">FREQUENCY(H3:I52,L3:M52)</f>
        <v>0</v>
      </c>
    </row>
    <row r="4" spans="2:14">
      <c r="B4" s="2">
        <v>2</v>
      </c>
      <c r="C4" s="2">
        <v>1</v>
      </c>
      <c r="D4" s="2">
        <v>3.8200000000000002E-4</v>
      </c>
      <c r="E4" s="4">
        <v>7.32</v>
      </c>
      <c r="F4" s="2">
        <f t="shared" ref="F4:F67" si="0">D4/E4</f>
        <v>5.2185792349726774E-5</v>
      </c>
      <c r="G4" s="5">
        <v>168.6</v>
      </c>
      <c r="H4" s="9">
        <f t="shared" ref="H4:H67" si="1">1.945*10^-10*F4^1.5/G4</f>
        <v>4.3490105195356502E-19</v>
      </c>
      <c r="I4" s="9"/>
      <c r="L4" s="7">
        <v>1.9999999999999999E-20</v>
      </c>
      <c r="M4" s="7"/>
      <c r="N4" s="1">
        <v>0</v>
      </c>
    </row>
    <row r="5" spans="2:14">
      <c r="B5" s="2">
        <v>3</v>
      </c>
      <c r="C5" s="2">
        <v>1</v>
      </c>
      <c r="D5" s="2">
        <v>3.8200000000000002E-4</v>
      </c>
      <c r="E5" s="4">
        <v>14.47</v>
      </c>
      <c r="F5" s="2">
        <f t="shared" si="0"/>
        <v>2.6399447131997236E-5</v>
      </c>
      <c r="G5" s="5">
        <v>62.6</v>
      </c>
      <c r="H5" s="9">
        <f t="shared" si="1"/>
        <v>4.2144171456566916E-19</v>
      </c>
      <c r="I5" s="9"/>
      <c r="L5" s="7">
        <v>3.0000000000000003E-20</v>
      </c>
      <c r="M5" s="7"/>
      <c r="N5" s="1">
        <v>0</v>
      </c>
    </row>
    <row r="6" spans="2:14">
      <c r="B6" s="2">
        <v>4</v>
      </c>
      <c r="C6" s="2">
        <v>1</v>
      </c>
      <c r="D6" s="2">
        <v>3.8200000000000002E-4</v>
      </c>
      <c r="E6" s="4">
        <v>14.98</v>
      </c>
      <c r="F6" s="2">
        <f t="shared" si="0"/>
        <v>2.5500667556742323E-5</v>
      </c>
      <c r="G6" s="5">
        <v>68.599999999999994</v>
      </c>
      <c r="H6" s="9">
        <f t="shared" si="1"/>
        <v>3.6510923183134183E-19</v>
      </c>
      <c r="I6" s="9"/>
      <c r="L6" s="7">
        <v>3.9999999999999998E-20</v>
      </c>
      <c r="M6" s="7"/>
      <c r="N6" s="1">
        <v>1</v>
      </c>
    </row>
    <row r="7" spans="2:14">
      <c r="B7" s="2">
        <v>5</v>
      </c>
      <c r="C7" s="2">
        <v>1</v>
      </c>
      <c r="D7" s="2">
        <v>3.8200000000000002E-4</v>
      </c>
      <c r="E7" s="4">
        <v>3.72</v>
      </c>
      <c r="F7" s="2">
        <f t="shared" si="0"/>
        <v>1.0268817204301075E-4</v>
      </c>
      <c r="G7" s="5">
        <v>284.2</v>
      </c>
      <c r="H7" s="9">
        <f t="shared" si="1"/>
        <v>7.1215768734266231E-19</v>
      </c>
      <c r="I7" s="9"/>
      <c r="L7" s="7">
        <v>4.9999999999999999E-20</v>
      </c>
      <c r="M7" s="7"/>
      <c r="N7" s="1">
        <v>2</v>
      </c>
    </row>
    <row r="8" spans="2:14">
      <c r="B8" s="2">
        <v>6</v>
      </c>
      <c r="C8" s="2">
        <v>1</v>
      </c>
      <c r="D8" s="2">
        <v>3.8200000000000002E-4</v>
      </c>
      <c r="E8" s="4">
        <v>4.05</v>
      </c>
      <c r="F8" s="2">
        <f t="shared" si="0"/>
        <v>9.432098765432099E-5</v>
      </c>
      <c r="G8" s="5">
        <v>351.7</v>
      </c>
      <c r="H8" s="9">
        <f t="shared" si="1"/>
        <v>5.0659365601111741E-19</v>
      </c>
      <c r="I8" s="9"/>
      <c r="L8" s="7">
        <v>6.0000000000000006E-20</v>
      </c>
      <c r="M8" s="7"/>
      <c r="N8" s="1">
        <v>0</v>
      </c>
    </row>
    <row r="9" spans="2:14">
      <c r="B9" s="2">
        <v>7</v>
      </c>
      <c r="C9" s="2">
        <v>1</v>
      </c>
      <c r="D9" s="2">
        <v>3.8200000000000002E-4</v>
      </c>
      <c r="E9" s="4">
        <v>10.6</v>
      </c>
      <c r="F9" s="2">
        <f t="shared" si="0"/>
        <v>3.6037735849056609E-5</v>
      </c>
      <c r="G9" s="5">
        <v>126</v>
      </c>
      <c r="H9" s="9">
        <f t="shared" si="1"/>
        <v>3.339529675490588E-19</v>
      </c>
      <c r="I9" s="9"/>
      <c r="L9" s="7">
        <v>7.0000000000000001E-20</v>
      </c>
      <c r="M9" s="7"/>
      <c r="N9" s="1">
        <v>3</v>
      </c>
    </row>
    <row r="10" spans="2:14">
      <c r="B10" s="2">
        <v>8</v>
      </c>
      <c r="C10" s="2">
        <v>1</v>
      </c>
      <c r="D10" s="2">
        <v>3.8200000000000002E-4</v>
      </c>
      <c r="E10" s="4">
        <v>9.75</v>
      </c>
      <c r="F10" s="2">
        <f t="shared" si="0"/>
        <v>3.917948717948718E-5</v>
      </c>
      <c r="G10" s="5">
        <v>120.1</v>
      </c>
      <c r="H10" s="9">
        <f t="shared" si="1"/>
        <v>3.971592840015501E-19</v>
      </c>
      <c r="I10" s="9"/>
      <c r="L10" s="7">
        <v>7.9999999999999996E-20</v>
      </c>
      <c r="M10" s="7"/>
      <c r="N10" s="1">
        <v>2</v>
      </c>
    </row>
    <row r="11" spans="2:14">
      <c r="B11" s="2">
        <v>9</v>
      </c>
      <c r="C11" s="2">
        <v>1</v>
      </c>
      <c r="D11" s="2">
        <v>3.8200000000000002E-4</v>
      </c>
      <c r="E11" s="4">
        <v>8.11</v>
      </c>
      <c r="F11" s="2">
        <f t="shared" si="0"/>
        <v>4.710234278668311E-5</v>
      </c>
      <c r="G11" s="5">
        <v>170.8</v>
      </c>
      <c r="H11" s="9">
        <f t="shared" si="1"/>
        <v>3.6812516124506652E-19</v>
      </c>
      <c r="I11" s="9"/>
      <c r="L11" s="7">
        <v>9.0000000000000003E-20</v>
      </c>
      <c r="M11" s="7"/>
      <c r="N11" s="1">
        <v>1</v>
      </c>
    </row>
    <row r="12" spans="2:14">
      <c r="B12" s="2">
        <v>10</v>
      </c>
      <c r="C12" s="2">
        <v>1</v>
      </c>
      <c r="D12" s="2">
        <v>3.8200000000000002E-4</v>
      </c>
      <c r="E12" s="4">
        <v>22.15</v>
      </c>
      <c r="F12" s="2">
        <f t="shared" si="0"/>
        <v>1.7246049661399549E-5</v>
      </c>
      <c r="G12" s="5">
        <v>88.4</v>
      </c>
      <c r="H12" s="9">
        <f t="shared" si="1"/>
        <v>1.5758025146171712E-19</v>
      </c>
      <c r="I12" s="9"/>
      <c r="L12" s="7">
        <v>9.9999999999999998E-20</v>
      </c>
      <c r="M12" s="7"/>
      <c r="N12" s="1">
        <v>1</v>
      </c>
    </row>
    <row r="13" spans="2:14">
      <c r="B13" s="2">
        <v>11</v>
      </c>
      <c r="C13" s="2">
        <v>1</v>
      </c>
      <c r="D13" s="2">
        <v>3.8200000000000002E-4</v>
      </c>
      <c r="E13" s="4">
        <v>8.76</v>
      </c>
      <c r="F13" s="2">
        <f t="shared" si="0"/>
        <v>4.3607305936073063E-5</v>
      </c>
      <c r="G13" s="5">
        <v>126.6</v>
      </c>
      <c r="H13" s="9">
        <f t="shared" si="1"/>
        <v>4.4240984732649361E-19</v>
      </c>
      <c r="I13" s="9"/>
      <c r="L13" s="7">
        <v>1.0999999999999999E-19</v>
      </c>
      <c r="M13" s="7"/>
      <c r="N13" s="1">
        <v>2</v>
      </c>
    </row>
    <row r="14" spans="2:14">
      <c r="B14" s="2">
        <v>12</v>
      </c>
      <c r="C14" s="2">
        <v>1</v>
      </c>
      <c r="D14" s="2">
        <v>3.8200000000000002E-4</v>
      </c>
      <c r="E14" s="4">
        <v>9.11</v>
      </c>
      <c r="F14" s="2">
        <f t="shared" si="0"/>
        <v>4.1931942919868279E-5</v>
      </c>
      <c r="G14" s="5">
        <v>128.4</v>
      </c>
      <c r="H14" s="9">
        <f t="shared" si="1"/>
        <v>4.1131264461271426E-19</v>
      </c>
      <c r="I14" s="9"/>
      <c r="L14" s="7">
        <v>1.2000000000000001E-19</v>
      </c>
      <c r="M14" s="7"/>
      <c r="N14" s="1">
        <v>0</v>
      </c>
    </row>
    <row r="15" spans="2:14">
      <c r="B15" s="2">
        <v>13</v>
      </c>
      <c r="C15" s="2">
        <v>1</v>
      </c>
      <c r="D15" s="2">
        <v>3.8200000000000002E-4</v>
      </c>
      <c r="E15" s="4">
        <v>23.48</v>
      </c>
      <c r="F15" s="2">
        <f t="shared" si="0"/>
        <v>1.6269165247018739E-5</v>
      </c>
      <c r="G15" s="5">
        <v>41.9</v>
      </c>
      <c r="H15" s="9">
        <f t="shared" si="1"/>
        <v>3.0461654514538201E-19</v>
      </c>
      <c r="I15" s="9"/>
      <c r="L15" s="7">
        <v>1.3000000000000001E-19</v>
      </c>
      <c r="M15" s="7"/>
      <c r="N15" s="1">
        <v>0</v>
      </c>
    </row>
    <row r="16" spans="2:14">
      <c r="B16" s="2">
        <v>14</v>
      </c>
      <c r="C16" s="2">
        <v>1</v>
      </c>
      <c r="D16" s="2">
        <v>3.8200000000000002E-4</v>
      </c>
      <c r="E16" s="4">
        <v>12.36</v>
      </c>
      <c r="F16" s="2">
        <f t="shared" si="0"/>
        <v>3.0906148867313921E-5</v>
      </c>
      <c r="G16" s="5">
        <v>83.9</v>
      </c>
      <c r="H16" s="9">
        <f t="shared" si="1"/>
        <v>3.9831346048250973E-19</v>
      </c>
      <c r="I16" s="9"/>
      <c r="L16" s="7">
        <v>1.4E-19</v>
      </c>
      <c r="M16" s="7"/>
      <c r="N16" s="1">
        <v>1</v>
      </c>
    </row>
    <row r="17" spans="2:14">
      <c r="B17" s="2">
        <v>15</v>
      </c>
      <c r="C17" s="2">
        <v>1</v>
      </c>
      <c r="D17" s="2">
        <v>3.8200000000000002E-4</v>
      </c>
      <c r="E17" s="4">
        <v>13.6</v>
      </c>
      <c r="F17" s="2">
        <f t="shared" si="0"/>
        <v>2.8088235294117648E-5</v>
      </c>
      <c r="G17" s="5">
        <v>173.6</v>
      </c>
      <c r="H17" s="9">
        <f t="shared" si="1"/>
        <v>1.6678483768588152E-19</v>
      </c>
      <c r="I17" s="9"/>
      <c r="L17" s="7">
        <v>1.5E-19</v>
      </c>
      <c r="M17" s="7"/>
      <c r="N17" s="1">
        <v>0</v>
      </c>
    </row>
    <row r="18" spans="2:14">
      <c r="B18" s="2">
        <v>16</v>
      </c>
      <c r="C18" s="2">
        <v>1</v>
      </c>
      <c r="D18" s="2">
        <v>3.8200000000000002E-4</v>
      </c>
      <c r="E18" s="4">
        <v>9.5299999999999994</v>
      </c>
      <c r="F18" s="2">
        <f t="shared" si="0"/>
        <v>4.008394543546695E-5</v>
      </c>
      <c r="G18" s="5">
        <v>232.8</v>
      </c>
      <c r="H18" s="9">
        <f t="shared" si="1"/>
        <v>2.120275636869835E-19</v>
      </c>
      <c r="I18" s="9"/>
      <c r="L18" s="7">
        <v>1.5999999999999999E-19</v>
      </c>
      <c r="M18" s="7"/>
      <c r="N18" s="1">
        <v>2</v>
      </c>
    </row>
    <row r="19" spans="2:14">
      <c r="B19" s="2">
        <v>17</v>
      </c>
      <c r="C19" s="2">
        <v>1</v>
      </c>
      <c r="D19" s="2">
        <v>3.8200000000000002E-4</v>
      </c>
      <c r="E19" s="4">
        <v>17.25</v>
      </c>
      <c r="F19" s="2">
        <f t="shared" si="0"/>
        <v>2.2144927536231886E-5</v>
      </c>
      <c r="G19" s="5">
        <v>115.9</v>
      </c>
      <c r="H19" s="9">
        <f t="shared" si="1"/>
        <v>1.7488298802142485E-19</v>
      </c>
      <c r="I19" s="9"/>
      <c r="L19" s="7">
        <v>1.7000000000000001E-19</v>
      </c>
      <c r="M19" s="7"/>
      <c r="N19" s="1">
        <v>4</v>
      </c>
    </row>
    <row r="20" spans="2:14">
      <c r="B20" s="2">
        <v>18</v>
      </c>
      <c r="C20" s="2">
        <v>1</v>
      </c>
      <c r="D20" s="2">
        <v>3.8200000000000002E-4</v>
      </c>
      <c r="E20" s="4">
        <v>19.329999999999998</v>
      </c>
      <c r="F20" s="2">
        <f t="shared" si="0"/>
        <v>1.9762027935851012E-5</v>
      </c>
      <c r="G20" s="5">
        <v>69.599999999999994</v>
      </c>
      <c r="H20" s="9">
        <f t="shared" si="1"/>
        <v>2.455034668682092E-19</v>
      </c>
      <c r="I20" s="9"/>
      <c r="L20" s="7">
        <v>1.8000000000000001E-19</v>
      </c>
      <c r="M20" s="7"/>
      <c r="N20" s="1">
        <v>1</v>
      </c>
    </row>
    <row r="21" spans="2:14">
      <c r="B21" s="2">
        <v>19</v>
      </c>
      <c r="C21" s="2">
        <v>1</v>
      </c>
      <c r="D21" s="2">
        <v>3.8200000000000002E-4</v>
      </c>
      <c r="E21" s="4">
        <v>12.57</v>
      </c>
      <c r="F21" s="2">
        <f t="shared" si="0"/>
        <v>3.0389817024661894E-5</v>
      </c>
      <c r="G21" s="5">
        <v>211.8</v>
      </c>
      <c r="H21" s="9">
        <f t="shared" si="1"/>
        <v>1.5384584720296341E-19</v>
      </c>
      <c r="I21" s="9"/>
      <c r="L21" s="7">
        <v>1.9E-19</v>
      </c>
      <c r="M21" s="7"/>
      <c r="N21" s="1">
        <v>2</v>
      </c>
    </row>
    <row r="22" spans="2:14">
      <c r="B22" s="2">
        <v>20</v>
      </c>
      <c r="C22" s="2">
        <v>1</v>
      </c>
      <c r="D22" s="2">
        <v>3.8200000000000002E-4</v>
      </c>
      <c r="E22" s="4">
        <v>4.07</v>
      </c>
      <c r="F22" s="2">
        <f t="shared" si="0"/>
        <v>9.385749385749386E-5</v>
      </c>
      <c r="G22" s="5">
        <v>225.3</v>
      </c>
      <c r="H22" s="9">
        <f t="shared" si="1"/>
        <v>7.8498587920631624E-19</v>
      </c>
      <c r="I22" s="9"/>
      <c r="L22" s="7">
        <v>2E-19</v>
      </c>
      <c r="M22" s="7"/>
      <c r="N22" s="1">
        <v>0</v>
      </c>
    </row>
    <row r="23" spans="2:14">
      <c r="B23" s="2">
        <v>21</v>
      </c>
      <c r="C23" s="2">
        <v>1</v>
      </c>
      <c r="D23" s="2">
        <v>3.8200000000000002E-4</v>
      </c>
      <c r="E23" s="4">
        <v>8.24</v>
      </c>
      <c r="F23" s="2">
        <f t="shared" si="0"/>
        <v>4.6359223300970875E-5</v>
      </c>
      <c r="G23" s="5">
        <v>42.2</v>
      </c>
      <c r="H23" s="9">
        <f t="shared" si="1"/>
        <v>1.4548270972574926E-18</v>
      </c>
      <c r="I23" s="9"/>
      <c r="L23" s="7">
        <v>2.0999999999999999E-19</v>
      </c>
      <c r="M23" s="7"/>
      <c r="N23" s="1">
        <v>1</v>
      </c>
    </row>
    <row r="24" spans="2:14">
      <c r="B24" s="2">
        <v>22</v>
      </c>
      <c r="C24" s="2">
        <v>1</v>
      </c>
      <c r="D24" s="2">
        <v>3.8200000000000002E-4</v>
      </c>
      <c r="E24" s="4">
        <v>20.83</v>
      </c>
      <c r="F24" s="2">
        <f t="shared" si="0"/>
        <v>1.8338934229476717E-5</v>
      </c>
      <c r="G24" s="5">
        <v>92.9</v>
      </c>
      <c r="H24" s="9">
        <f t="shared" si="1"/>
        <v>1.6442393256488777E-19</v>
      </c>
      <c r="I24" s="9"/>
      <c r="L24" s="7">
        <v>2.1999999999999998E-19</v>
      </c>
      <c r="M24" s="7"/>
      <c r="N24" s="1">
        <v>1</v>
      </c>
    </row>
    <row r="25" spans="2:14">
      <c r="B25" s="2">
        <v>23</v>
      </c>
      <c r="C25" s="2">
        <v>1</v>
      </c>
      <c r="D25" s="2">
        <v>3.8200000000000002E-4</v>
      </c>
      <c r="E25" s="4">
        <v>24.08</v>
      </c>
      <c r="F25" s="2">
        <f t="shared" si="0"/>
        <v>1.5863787375415285E-5</v>
      </c>
      <c r="G25" s="5">
        <v>72.900000000000006</v>
      </c>
      <c r="H25" s="9">
        <f t="shared" si="1"/>
        <v>1.6857858253870438E-19</v>
      </c>
      <c r="I25" s="9"/>
      <c r="L25" s="7">
        <v>2.2999999999999998E-19</v>
      </c>
      <c r="M25" s="7"/>
      <c r="N25" s="1">
        <v>1</v>
      </c>
    </row>
    <row r="26" spans="2:14">
      <c r="B26" s="2">
        <v>24</v>
      </c>
      <c r="C26" s="2">
        <v>1</v>
      </c>
      <c r="D26" s="2">
        <v>3.8200000000000002E-4</v>
      </c>
      <c r="E26" s="4">
        <v>21.72</v>
      </c>
      <c r="F26" s="2">
        <f t="shared" si="0"/>
        <v>1.7587476979742175E-5</v>
      </c>
      <c r="G26" s="5">
        <v>288.10000000000002</v>
      </c>
      <c r="H26" s="9">
        <f t="shared" si="1"/>
        <v>4.9794532621128721E-20</v>
      </c>
      <c r="I26" s="9"/>
      <c r="L26" s="7">
        <v>2.4000000000000002E-19</v>
      </c>
      <c r="M26" s="7"/>
      <c r="N26" s="1">
        <v>1</v>
      </c>
    </row>
    <row r="27" spans="2:14">
      <c r="B27" s="2">
        <v>25</v>
      </c>
      <c r="C27" s="2">
        <v>1</v>
      </c>
      <c r="D27" s="2">
        <v>3.8200000000000002E-4</v>
      </c>
      <c r="E27" s="4">
        <v>15.03</v>
      </c>
      <c r="F27" s="2">
        <f t="shared" si="0"/>
        <v>2.5415834996673323E-5</v>
      </c>
      <c r="G27" s="5">
        <v>227.7</v>
      </c>
      <c r="H27" s="9">
        <f t="shared" si="1"/>
        <v>1.0944934037775462E-19</v>
      </c>
      <c r="I27" s="9"/>
      <c r="L27" s="7">
        <v>2.5000000000000002E-19</v>
      </c>
      <c r="M27" s="7"/>
      <c r="N27" s="1">
        <v>1</v>
      </c>
    </row>
    <row r="28" spans="2:14">
      <c r="B28" s="2">
        <v>26</v>
      </c>
      <c r="C28" s="2">
        <v>1</v>
      </c>
      <c r="D28" s="2">
        <v>3.8200000000000002E-4</v>
      </c>
      <c r="E28" s="4">
        <v>21.33</v>
      </c>
      <c r="F28" s="2">
        <f t="shared" si="0"/>
        <v>1.7909048288795127E-5</v>
      </c>
      <c r="G28" s="5">
        <v>236.3</v>
      </c>
      <c r="H28" s="9">
        <f t="shared" si="1"/>
        <v>6.2382768602547688E-20</v>
      </c>
      <c r="I28" s="9"/>
      <c r="L28" s="7">
        <v>2.6000000000000001E-19</v>
      </c>
      <c r="M28" s="7"/>
      <c r="N28" s="1">
        <v>0</v>
      </c>
    </row>
    <row r="29" spans="2:14">
      <c r="B29" s="2">
        <v>27</v>
      </c>
      <c r="C29" s="2">
        <v>1</v>
      </c>
      <c r="D29" s="2">
        <v>3.8200000000000002E-4</v>
      </c>
      <c r="E29" s="4">
        <v>18.649999999999999</v>
      </c>
      <c r="F29" s="2">
        <f t="shared" si="0"/>
        <v>2.0482573726541557E-5</v>
      </c>
      <c r="G29" s="5">
        <v>138.4</v>
      </c>
      <c r="H29" s="9">
        <f t="shared" si="1"/>
        <v>1.3027476717986452E-19</v>
      </c>
      <c r="I29" s="9"/>
      <c r="L29" s="7">
        <v>2.7000000000000001E-19</v>
      </c>
      <c r="M29" s="7"/>
      <c r="N29" s="1">
        <v>0</v>
      </c>
    </row>
    <row r="30" spans="2:14">
      <c r="B30" s="2">
        <v>28</v>
      </c>
      <c r="C30" s="2">
        <v>1</v>
      </c>
      <c r="D30" s="2">
        <v>3.8200000000000002E-4</v>
      </c>
      <c r="E30" s="4">
        <v>5.22</v>
      </c>
      <c r="F30" s="2">
        <f t="shared" si="0"/>
        <v>7.3180076628352495E-5</v>
      </c>
      <c r="G30" s="5">
        <v>134.5</v>
      </c>
      <c r="H30" s="9">
        <f t="shared" si="1"/>
        <v>9.05287682212827E-19</v>
      </c>
      <c r="I30" s="9"/>
      <c r="L30" s="7">
        <v>2.8E-19</v>
      </c>
      <c r="M30" s="7"/>
      <c r="N30" s="1">
        <v>1</v>
      </c>
    </row>
    <row r="31" spans="2:14">
      <c r="B31" s="2">
        <v>29</v>
      </c>
      <c r="C31" s="2">
        <v>1</v>
      </c>
      <c r="D31" s="2">
        <v>3.8200000000000002E-4</v>
      </c>
      <c r="E31" s="4">
        <v>17.170000000000002</v>
      </c>
      <c r="F31" s="2">
        <f t="shared" si="0"/>
        <v>2.224810716365754E-5</v>
      </c>
      <c r="G31" s="5">
        <v>111.2</v>
      </c>
      <c r="H31" s="9">
        <f t="shared" si="1"/>
        <v>1.835500131871435E-19</v>
      </c>
      <c r="I31" s="9"/>
      <c r="L31" s="7">
        <v>2.9E-19</v>
      </c>
      <c r="M31" s="7"/>
      <c r="N31" s="1">
        <v>1</v>
      </c>
    </row>
    <row r="32" spans="2:14">
      <c r="B32" s="2">
        <v>30</v>
      </c>
      <c r="C32" s="2">
        <v>1</v>
      </c>
      <c r="D32" s="2">
        <v>3.8200000000000002E-4</v>
      </c>
      <c r="E32" s="4">
        <v>9.24</v>
      </c>
      <c r="F32" s="2">
        <f t="shared" si="0"/>
        <v>4.1341991341991342E-5</v>
      </c>
      <c r="G32" s="5">
        <v>247.1</v>
      </c>
      <c r="H32" s="9">
        <f t="shared" si="1"/>
        <v>2.0923481425821882E-19</v>
      </c>
      <c r="I32" s="9"/>
      <c r="L32" s="7">
        <v>2.9999999999999999E-19</v>
      </c>
      <c r="M32" s="7"/>
      <c r="N32" s="1">
        <v>0</v>
      </c>
    </row>
    <row r="33" spans="2:14">
      <c r="B33" s="2">
        <v>31</v>
      </c>
      <c r="C33" s="2">
        <v>1</v>
      </c>
      <c r="D33" s="2">
        <v>3.8200000000000002E-4</v>
      </c>
      <c r="E33" s="4">
        <v>7.18</v>
      </c>
      <c r="F33" s="2">
        <f t="shared" si="0"/>
        <v>5.3203342618384407E-5</v>
      </c>
      <c r="G33" s="5">
        <v>169</v>
      </c>
      <c r="H33" s="9">
        <f t="shared" si="1"/>
        <v>4.4662320015468356E-19</v>
      </c>
      <c r="I33" s="9"/>
      <c r="L33" s="7">
        <v>3.0999999999999999E-19</v>
      </c>
      <c r="M33" s="7"/>
      <c r="N33" s="1">
        <v>1</v>
      </c>
    </row>
    <row r="34" spans="2:14">
      <c r="B34" s="2">
        <v>32</v>
      </c>
      <c r="C34" s="2">
        <v>1</v>
      </c>
      <c r="D34" s="2">
        <v>3.8200000000000002E-4</v>
      </c>
      <c r="E34" s="4">
        <v>24.77</v>
      </c>
      <c r="F34" s="2">
        <f t="shared" si="0"/>
        <v>1.5421881308033913E-5</v>
      </c>
      <c r="G34" s="5">
        <v>272.8</v>
      </c>
      <c r="H34" s="9">
        <f t="shared" si="1"/>
        <v>4.3179864400352903E-20</v>
      </c>
      <c r="I34" s="9"/>
      <c r="L34" s="7">
        <v>3.1999999999999998E-19</v>
      </c>
      <c r="M34" s="7"/>
      <c r="N34" s="1">
        <v>0</v>
      </c>
    </row>
    <row r="35" spans="2:14">
      <c r="B35" s="2">
        <v>33</v>
      </c>
      <c r="C35" s="2">
        <v>1</v>
      </c>
      <c r="D35" s="2">
        <v>3.8200000000000002E-4</v>
      </c>
      <c r="E35" s="4">
        <v>21.62</v>
      </c>
      <c r="F35" s="2">
        <f t="shared" si="0"/>
        <v>1.766882516188714E-5</v>
      </c>
      <c r="G35" s="5">
        <v>50.9</v>
      </c>
      <c r="H35" s="9">
        <f t="shared" si="1"/>
        <v>2.8380061566768923E-19</v>
      </c>
      <c r="I35" s="9"/>
      <c r="L35" s="7">
        <v>3.2999999999999998E-19</v>
      </c>
      <c r="M35" s="7"/>
      <c r="N35" s="1">
        <v>0</v>
      </c>
    </row>
    <row r="36" spans="2:14">
      <c r="B36" s="2">
        <v>34</v>
      </c>
      <c r="C36" s="2">
        <v>1</v>
      </c>
      <c r="D36" s="2">
        <v>3.8200000000000002E-4</v>
      </c>
      <c r="E36" s="4">
        <v>8.11</v>
      </c>
      <c r="F36" s="2">
        <f t="shared" si="0"/>
        <v>4.710234278668311E-5</v>
      </c>
      <c r="G36" s="5">
        <v>170.8</v>
      </c>
      <c r="H36" s="9">
        <f t="shared" si="1"/>
        <v>3.6812516124506652E-19</v>
      </c>
      <c r="I36" s="9"/>
      <c r="L36" s="7">
        <v>3.4000000000000002E-19</v>
      </c>
      <c r="M36" s="7"/>
      <c r="N36" s="1">
        <v>1</v>
      </c>
    </row>
    <row r="37" spans="2:14">
      <c r="B37" s="2">
        <v>35</v>
      </c>
      <c r="C37" s="2">
        <v>1</v>
      </c>
      <c r="D37" s="2">
        <v>3.8200000000000002E-4</v>
      </c>
      <c r="E37" s="4">
        <v>22.34</v>
      </c>
      <c r="F37" s="2">
        <f t="shared" si="0"/>
        <v>1.70993733213966E-5</v>
      </c>
      <c r="G37" s="5">
        <v>174.5</v>
      </c>
      <c r="H37" s="9">
        <f t="shared" si="1"/>
        <v>7.8812384156677962E-20</v>
      </c>
      <c r="I37" s="9"/>
      <c r="L37" s="7">
        <v>3.5000000000000002E-19</v>
      </c>
      <c r="M37" s="7"/>
      <c r="N37" s="1">
        <v>0</v>
      </c>
    </row>
    <row r="38" spans="2:14">
      <c r="B38" s="2">
        <v>36</v>
      </c>
      <c r="C38" s="2">
        <v>1</v>
      </c>
      <c r="D38" s="2">
        <v>3.8200000000000002E-4</v>
      </c>
      <c r="E38" s="4">
        <v>23.16</v>
      </c>
      <c r="F38" s="2">
        <f t="shared" si="0"/>
        <v>1.6493955094991366E-5</v>
      </c>
      <c r="G38" s="5">
        <v>123.9</v>
      </c>
      <c r="H38" s="9">
        <f t="shared" si="1"/>
        <v>1.0515635189613713E-19</v>
      </c>
      <c r="I38" s="9"/>
      <c r="L38" s="7">
        <v>3.6000000000000001E-19</v>
      </c>
      <c r="M38" s="7"/>
      <c r="N38" s="1">
        <v>0</v>
      </c>
    </row>
    <row r="39" spans="2:14">
      <c r="B39" s="2">
        <v>37</v>
      </c>
      <c r="C39" s="2">
        <v>1</v>
      </c>
      <c r="D39" s="2">
        <v>3.8200000000000002E-4</v>
      </c>
      <c r="E39" s="4">
        <v>15.57</v>
      </c>
      <c r="F39" s="2">
        <f t="shared" si="0"/>
        <v>2.4534360950545924E-5</v>
      </c>
      <c r="G39" s="5">
        <v>345.3</v>
      </c>
      <c r="H39" s="9">
        <f t="shared" si="1"/>
        <v>6.8451844141021412E-20</v>
      </c>
      <c r="I39" s="9"/>
      <c r="L39" s="7">
        <v>3.7000000000000001E-19</v>
      </c>
      <c r="M39" s="7"/>
      <c r="N39" s="1">
        <v>4</v>
      </c>
    </row>
    <row r="40" spans="2:14">
      <c r="B40" s="2">
        <v>38</v>
      </c>
      <c r="C40" s="2">
        <v>1</v>
      </c>
      <c r="D40" s="2">
        <v>3.8200000000000002E-4</v>
      </c>
      <c r="E40" s="4">
        <v>12.09</v>
      </c>
      <c r="F40" s="2">
        <f t="shared" si="0"/>
        <v>3.1596360628618697E-5</v>
      </c>
      <c r="G40" s="5">
        <v>213.2</v>
      </c>
      <c r="H40" s="9">
        <f t="shared" si="1"/>
        <v>1.6202722663136051E-19</v>
      </c>
      <c r="I40" s="9"/>
      <c r="L40" s="7">
        <v>3.8E-19</v>
      </c>
      <c r="M40" s="7"/>
      <c r="N40" s="1">
        <v>0</v>
      </c>
    </row>
    <row r="41" spans="2:14">
      <c r="B41" s="2">
        <v>39</v>
      </c>
      <c r="C41" s="2">
        <v>1</v>
      </c>
      <c r="D41" s="2">
        <v>3.8200000000000002E-4</v>
      </c>
      <c r="E41" s="4">
        <v>5.45</v>
      </c>
      <c r="F41" s="2">
        <f t="shared" si="0"/>
        <v>7.009174311926605E-5</v>
      </c>
      <c r="G41" s="5">
        <v>253.3</v>
      </c>
      <c r="H41" s="9">
        <f t="shared" si="1"/>
        <v>4.5059327617437475E-19</v>
      </c>
      <c r="I41" s="9"/>
      <c r="L41" s="7">
        <v>3.9E-19</v>
      </c>
      <c r="M41" s="7"/>
      <c r="N41" s="1">
        <v>0</v>
      </c>
    </row>
    <row r="42" spans="2:14">
      <c r="B42" s="2">
        <v>40</v>
      </c>
      <c r="C42" s="2">
        <v>1</v>
      </c>
      <c r="D42" s="2">
        <v>3.8200000000000002E-4</v>
      </c>
      <c r="E42" s="4">
        <v>20.53</v>
      </c>
      <c r="F42" s="2">
        <f t="shared" si="0"/>
        <v>1.8606916707257671E-5</v>
      </c>
      <c r="G42" s="5">
        <v>169.8</v>
      </c>
      <c r="H42" s="9">
        <f t="shared" si="1"/>
        <v>9.193767993870622E-20</v>
      </c>
      <c r="I42" s="9"/>
      <c r="L42" s="7">
        <v>3.9999999999999999E-19</v>
      </c>
      <c r="M42" s="7"/>
      <c r="N42" s="1">
        <v>2</v>
      </c>
    </row>
    <row r="43" spans="2:14">
      <c r="B43" s="2">
        <v>41</v>
      </c>
      <c r="C43" s="2">
        <v>1</v>
      </c>
      <c r="D43" s="2">
        <v>3.8200000000000002E-4</v>
      </c>
      <c r="E43" s="4">
        <v>24.92</v>
      </c>
      <c r="F43" s="2">
        <f t="shared" si="0"/>
        <v>1.5329052969502406E-5</v>
      </c>
      <c r="G43" s="5">
        <v>332.7</v>
      </c>
      <c r="H43" s="9">
        <f t="shared" si="1"/>
        <v>3.5086479332700357E-20</v>
      </c>
      <c r="I43" s="9"/>
      <c r="L43" s="7">
        <v>4.0999999999999999E-19</v>
      </c>
      <c r="M43" s="7"/>
      <c r="N43" s="1">
        <v>0</v>
      </c>
    </row>
    <row r="44" spans="2:14">
      <c r="B44" s="2">
        <v>42</v>
      </c>
      <c r="C44" s="2">
        <v>1</v>
      </c>
      <c r="D44" s="2">
        <v>3.8200000000000002E-4</v>
      </c>
      <c r="E44" s="4">
        <v>3.75</v>
      </c>
      <c r="F44" s="2">
        <f t="shared" si="0"/>
        <v>1.0186666666666667E-4</v>
      </c>
      <c r="G44" s="5">
        <v>222.6</v>
      </c>
      <c r="H44" s="9">
        <f t="shared" si="1"/>
        <v>8.98343828154446E-19</v>
      </c>
      <c r="I44" s="9"/>
      <c r="L44" s="7">
        <v>4.1999999999999998E-19</v>
      </c>
      <c r="M44" s="7"/>
      <c r="N44" s="1">
        <v>1</v>
      </c>
    </row>
    <row r="45" spans="2:14">
      <c r="B45" s="2">
        <v>43</v>
      </c>
      <c r="C45" s="2">
        <v>1</v>
      </c>
      <c r="D45" s="2">
        <v>3.8200000000000002E-4</v>
      </c>
      <c r="E45" s="4">
        <v>9.24</v>
      </c>
      <c r="F45" s="2">
        <f t="shared" si="0"/>
        <v>4.1341991341991342E-5</v>
      </c>
      <c r="G45" s="5">
        <v>187.8</v>
      </c>
      <c r="H45" s="9">
        <f t="shared" si="1"/>
        <v>2.7530310225349235E-19</v>
      </c>
      <c r="I45" s="9"/>
      <c r="L45" s="7">
        <v>4.3000000000000002E-19</v>
      </c>
      <c r="M45" s="7"/>
      <c r="N45" s="1">
        <v>1</v>
      </c>
    </row>
    <row r="46" spans="2:14">
      <c r="B46" s="2">
        <v>44</v>
      </c>
      <c r="C46" s="2">
        <v>1</v>
      </c>
      <c r="D46" s="2">
        <v>3.8200000000000002E-4</v>
      </c>
      <c r="E46" s="4">
        <v>13.26</v>
      </c>
      <c r="F46" s="2">
        <f t="shared" si="0"/>
        <v>2.8808446455505282E-5</v>
      </c>
      <c r="G46" s="5">
        <v>129.6</v>
      </c>
      <c r="H46" s="9">
        <f t="shared" si="1"/>
        <v>2.3205683379361788E-19</v>
      </c>
      <c r="I46" s="9"/>
      <c r="L46" s="7">
        <v>4.3999999999999997E-19</v>
      </c>
      <c r="M46" s="7"/>
      <c r="N46" s="1">
        <v>1</v>
      </c>
    </row>
    <row r="47" spans="2:14">
      <c r="B47" s="2">
        <v>45</v>
      </c>
      <c r="C47" s="2">
        <v>1</v>
      </c>
      <c r="D47" s="2">
        <v>3.8200000000000002E-4</v>
      </c>
      <c r="E47" s="4">
        <v>14.26</v>
      </c>
      <c r="F47" s="2">
        <f t="shared" si="0"/>
        <v>2.6788218793828895E-5</v>
      </c>
      <c r="G47" s="5">
        <v>336</v>
      </c>
      <c r="H47" s="9">
        <f t="shared" si="1"/>
        <v>8.0259432458438495E-20</v>
      </c>
      <c r="I47" s="9"/>
      <c r="L47" s="7">
        <v>4.5000000000000001E-19</v>
      </c>
      <c r="M47" s="7"/>
      <c r="N47" s="1">
        <v>2</v>
      </c>
    </row>
    <row r="48" spans="2:14">
      <c r="B48" s="2">
        <v>46</v>
      </c>
      <c r="C48" s="2">
        <v>1</v>
      </c>
      <c r="D48" s="2">
        <v>3.8200000000000002E-4</v>
      </c>
      <c r="E48" s="4">
        <v>9.92</v>
      </c>
      <c r="F48" s="2">
        <f t="shared" si="0"/>
        <v>3.8508064516129036E-5</v>
      </c>
      <c r="G48" s="5">
        <v>92</v>
      </c>
      <c r="H48" s="9">
        <f t="shared" si="1"/>
        <v>5.0519531504841948E-19</v>
      </c>
      <c r="I48" s="9"/>
      <c r="L48" s="7">
        <v>4.5999999999999996E-19</v>
      </c>
      <c r="M48" s="7"/>
      <c r="N48" s="1">
        <v>1</v>
      </c>
    </row>
    <row r="49" spans="2:14">
      <c r="B49" s="2">
        <v>47</v>
      </c>
      <c r="C49" s="2">
        <v>1</v>
      </c>
      <c r="D49" s="2">
        <v>3.8200000000000002E-4</v>
      </c>
      <c r="E49" s="4">
        <v>19.89</v>
      </c>
      <c r="F49" s="2">
        <f t="shared" si="0"/>
        <v>1.9205630970336851E-5</v>
      </c>
      <c r="G49" s="5">
        <v>220.3</v>
      </c>
      <c r="H49" s="9">
        <f t="shared" si="1"/>
        <v>7.4310122663013932E-20</v>
      </c>
      <c r="I49" s="9"/>
      <c r="L49" s="7">
        <v>4.7E-19</v>
      </c>
      <c r="M49" s="7"/>
      <c r="N49" s="1">
        <v>0</v>
      </c>
    </row>
    <row r="50" spans="2:14">
      <c r="B50" s="2">
        <v>48</v>
      </c>
      <c r="C50" s="2">
        <v>1</v>
      </c>
      <c r="D50" s="2">
        <v>3.8200000000000002E-4</v>
      </c>
      <c r="E50" s="4">
        <v>8.11</v>
      </c>
      <c r="F50" s="2">
        <f t="shared" si="0"/>
        <v>4.710234278668311E-5</v>
      </c>
      <c r="G50" s="6">
        <v>170.8</v>
      </c>
      <c r="H50" s="9">
        <f t="shared" si="1"/>
        <v>3.6812516124506652E-19</v>
      </c>
      <c r="I50" s="9"/>
      <c r="L50" s="7">
        <v>4.8000000000000005E-19</v>
      </c>
      <c r="M50" s="7"/>
      <c r="N50" s="1">
        <v>0</v>
      </c>
    </row>
    <row r="51" spans="2:14">
      <c r="B51" s="2">
        <v>49</v>
      </c>
      <c r="C51" s="2">
        <v>1</v>
      </c>
      <c r="D51" s="2">
        <v>3.8200000000000002E-4</v>
      </c>
      <c r="E51" s="4">
        <v>22.39</v>
      </c>
      <c r="F51" s="2">
        <f t="shared" si="0"/>
        <v>1.7061188030370701E-5</v>
      </c>
      <c r="G51" s="5">
        <v>59.7</v>
      </c>
      <c r="H51" s="9">
        <f t="shared" si="1"/>
        <v>2.2959328319809843E-19</v>
      </c>
      <c r="I51" s="9"/>
      <c r="L51" s="7">
        <v>4.8999999999999999E-19</v>
      </c>
      <c r="M51" s="7"/>
      <c r="N51" s="1">
        <v>0</v>
      </c>
    </row>
    <row r="52" spans="2:14">
      <c r="B52" s="2">
        <v>50</v>
      </c>
      <c r="C52" s="2">
        <v>1</v>
      </c>
      <c r="D52" s="2">
        <v>3.8200000000000002E-4</v>
      </c>
      <c r="E52" s="4">
        <v>22.38</v>
      </c>
      <c r="F52" s="2">
        <f t="shared" si="0"/>
        <v>1.706881143878463E-5</v>
      </c>
      <c r="G52" s="5">
        <v>205.2</v>
      </c>
      <c r="H52" s="9">
        <f t="shared" si="1"/>
        <v>6.6841651277123587E-20</v>
      </c>
      <c r="I52" s="9"/>
      <c r="L52" s="7">
        <v>5.0000000000000004E-19</v>
      </c>
      <c r="M52" s="7"/>
      <c r="N52" s="1">
        <v>0</v>
      </c>
    </row>
    <row r="53" spans="2:14">
      <c r="B53" s="2">
        <v>51</v>
      </c>
      <c r="C53" s="2">
        <v>1</v>
      </c>
      <c r="D53" s="2">
        <v>3.8200000000000002E-4</v>
      </c>
      <c r="E53" s="4"/>
      <c r="F53" s="2" t="e">
        <f t="shared" si="0"/>
        <v>#DIV/0!</v>
      </c>
      <c r="G53" s="4"/>
      <c r="H53" s="9" t="e">
        <f t="shared" si="1"/>
        <v>#DIV/0!</v>
      </c>
      <c r="I53" s="9"/>
      <c r="L53" s="8" t="s">
        <v>9</v>
      </c>
      <c r="M53" s="8"/>
      <c r="N53" s="1">
        <v>7</v>
      </c>
    </row>
    <row r="54" spans="2:14">
      <c r="B54" s="2">
        <v>52</v>
      </c>
      <c r="C54" s="2">
        <v>1</v>
      </c>
      <c r="D54" s="2">
        <v>3.8200000000000002E-4</v>
      </c>
      <c r="E54" s="4"/>
      <c r="F54" s="2" t="e">
        <f t="shared" si="0"/>
        <v>#DIV/0!</v>
      </c>
      <c r="G54" s="4"/>
      <c r="H54" s="9" t="e">
        <f t="shared" si="1"/>
        <v>#DIV/0!</v>
      </c>
      <c r="I54" s="9"/>
    </row>
    <row r="55" spans="2:14">
      <c r="B55" s="2">
        <v>53</v>
      </c>
      <c r="C55" s="2">
        <v>1</v>
      </c>
      <c r="D55" s="2">
        <v>3.8200000000000002E-4</v>
      </c>
      <c r="E55" s="4"/>
      <c r="F55" s="2" t="e">
        <f t="shared" si="0"/>
        <v>#DIV/0!</v>
      </c>
      <c r="G55" s="4"/>
      <c r="H55" s="9" t="e">
        <f t="shared" si="1"/>
        <v>#DIV/0!</v>
      </c>
      <c r="I55" s="9"/>
    </row>
    <row r="56" spans="2:14">
      <c r="B56" s="2">
        <v>54</v>
      </c>
      <c r="C56" s="2">
        <v>1</v>
      </c>
      <c r="D56" s="2">
        <v>3.8200000000000002E-4</v>
      </c>
      <c r="E56" s="4"/>
      <c r="F56" s="2" t="e">
        <f t="shared" si="0"/>
        <v>#DIV/0!</v>
      </c>
      <c r="G56" s="4"/>
      <c r="H56" s="9" t="e">
        <f t="shared" si="1"/>
        <v>#DIV/0!</v>
      </c>
      <c r="I56" s="9"/>
    </row>
    <row r="57" spans="2:14">
      <c r="B57" s="2">
        <v>55</v>
      </c>
      <c r="C57" s="2">
        <v>1</v>
      </c>
      <c r="D57" s="2">
        <v>3.8200000000000002E-4</v>
      </c>
      <c r="E57" s="4"/>
      <c r="F57" s="2" t="e">
        <f t="shared" si="0"/>
        <v>#DIV/0!</v>
      </c>
      <c r="G57" s="4"/>
      <c r="H57" s="9" t="e">
        <f t="shared" si="1"/>
        <v>#DIV/0!</v>
      </c>
      <c r="I57" s="9"/>
    </row>
    <row r="58" spans="2:14">
      <c r="B58" s="2">
        <v>56</v>
      </c>
      <c r="C58" s="2">
        <v>1</v>
      </c>
      <c r="D58" s="2">
        <v>3.8200000000000002E-4</v>
      </c>
      <c r="E58" s="4"/>
      <c r="F58" s="2" t="e">
        <f t="shared" si="0"/>
        <v>#DIV/0!</v>
      </c>
      <c r="G58" s="4"/>
      <c r="H58" s="9" t="e">
        <f t="shared" si="1"/>
        <v>#DIV/0!</v>
      </c>
      <c r="I58" s="9"/>
    </row>
    <row r="59" spans="2:14">
      <c r="B59" s="2">
        <v>57</v>
      </c>
      <c r="C59" s="2">
        <v>1</v>
      </c>
      <c r="D59" s="2">
        <v>3.8200000000000002E-4</v>
      </c>
      <c r="E59" s="4"/>
      <c r="F59" s="2" t="e">
        <f t="shared" si="0"/>
        <v>#DIV/0!</v>
      </c>
      <c r="G59" s="4"/>
      <c r="H59" s="9" t="e">
        <f t="shared" si="1"/>
        <v>#DIV/0!</v>
      </c>
      <c r="I59" s="9"/>
    </row>
    <row r="60" spans="2:14">
      <c r="B60" s="2">
        <v>58</v>
      </c>
      <c r="C60" s="2">
        <v>1</v>
      </c>
      <c r="D60" s="2">
        <v>3.8200000000000002E-4</v>
      </c>
      <c r="E60" s="4"/>
      <c r="F60" s="2" t="e">
        <f t="shared" si="0"/>
        <v>#DIV/0!</v>
      </c>
      <c r="G60" s="4"/>
      <c r="H60" s="9" t="e">
        <f t="shared" si="1"/>
        <v>#DIV/0!</v>
      </c>
      <c r="I60" s="9"/>
    </row>
    <row r="61" spans="2:14">
      <c r="B61" s="2">
        <v>59</v>
      </c>
      <c r="C61" s="2">
        <v>1</v>
      </c>
      <c r="D61" s="2">
        <v>3.8200000000000002E-4</v>
      </c>
      <c r="E61" s="4"/>
      <c r="F61" s="2" t="e">
        <f t="shared" si="0"/>
        <v>#DIV/0!</v>
      </c>
      <c r="G61" s="4"/>
      <c r="H61" s="9" t="e">
        <f t="shared" si="1"/>
        <v>#DIV/0!</v>
      </c>
      <c r="I61" s="9"/>
    </row>
    <row r="62" spans="2:14">
      <c r="B62" s="2">
        <v>60</v>
      </c>
      <c r="C62" s="2">
        <v>1</v>
      </c>
      <c r="D62" s="2">
        <v>3.8200000000000002E-4</v>
      </c>
      <c r="E62" s="4"/>
      <c r="F62" s="2" t="e">
        <f t="shared" si="0"/>
        <v>#DIV/0!</v>
      </c>
      <c r="G62" s="4"/>
      <c r="H62" s="9" t="e">
        <f t="shared" si="1"/>
        <v>#DIV/0!</v>
      </c>
      <c r="I62" s="9"/>
    </row>
    <row r="63" spans="2:14">
      <c r="B63" s="2">
        <v>61</v>
      </c>
      <c r="C63" s="2">
        <v>1</v>
      </c>
      <c r="D63" s="2">
        <v>3.8200000000000002E-4</v>
      </c>
      <c r="E63" s="4"/>
      <c r="F63" s="2" t="e">
        <f t="shared" si="0"/>
        <v>#DIV/0!</v>
      </c>
      <c r="G63" s="4"/>
      <c r="H63" s="9" t="e">
        <f t="shared" si="1"/>
        <v>#DIV/0!</v>
      </c>
      <c r="I63" s="9"/>
    </row>
    <row r="64" spans="2:14">
      <c r="B64" s="2">
        <v>62</v>
      </c>
      <c r="C64" s="2">
        <v>1</v>
      </c>
      <c r="D64" s="2">
        <v>3.8200000000000002E-4</v>
      </c>
      <c r="E64" s="4"/>
      <c r="F64" s="2" t="e">
        <f t="shared" si="0"/>
        <v>#DIV/0!</v>
      </c>
      <c r="G64" s="4"/>
      <c r="H64" s="9" t="e">
        <f t="shared" si="1"/>
        <v>#DIV/0!</v>
      </c>
      <c r="I64" s="9"/>
    </row>
    <row r="65" spans="2:9">
      <c r="B65" s="2">
        <v>63</v>
      </c>
      <c r="C65" s="2">
        <v>1</v>
      </c>
      <c r="D65" s="2">
        <v>3.8200000000000002E-4</v>
      </c>
      <c r="E65" s="4"/>
      <c r="F65" s="2" t="e">
        <f t="shared" si="0"/>
        <v>#DIV/0!</v>
      </c>
      <c r="G65" s="4"/>
      <c r="H65" s="9" t="e">
        <f t="shared" si="1"/>
        <v>#DIV/0!</v>
      </c>
      <c r="I65" s="9"/>
    </row>
    <row r="66" spans="2:9">
      <c r="B66" s="2">
        <v>64</v>
      </c>
      <c r="C66" s="2">
        <v>1</v>
      </c>
      <c r="D66" s="2">
        <v>3.8200000000000002E-4</v>
      </c>
      <c r="E66" s="4"/>
      <c r="F66" s="2" t="e">
        <f t="shared" si="0"/>
        <v>#DIV/0!</v>
      </c>
      <c r="G66" s="4"/>
      <c r="H66" s="9" t="e">
        <f t="shared" si="1"/>
        <v>#DIV/0!</v>
      </c>
      <c r="I66" s="9"/>
    </row>
    <row r="67" spans="2:9">
      <c r="B67" s="2">
        <v>65</v>
      </c>
      <c r="C67" s="2">
        <v>1</v>
      </c>
      <c r="D67" s="2">
        <v>3.8200000000000002E-4</v>
      </c>
      <c r="E67" s="4"/>
      <c r="F67" s="2" t="e">
        <f t="shared" si="0"/>
        <v>#DIV/0!</v>
      </c>
      <c r="G67" s="4"/>
      <c r="H67" s="9" t="e">
        <f t="shared" si="1"/>
        <v>#DIV/0!</v>
      </c>
      <c r="I67" s="9"/>
    </row>
    <row r="68" spans="2:9">
      <c r="B68" s="2">
        <v>66</v>
      </c>
      <c r="C68" s="2">
        <v>1</v>
      </c>
      <c r="D68" s="2">
        <v>3.8200000000000002E-4</v>
      </c>
      <c r="E68" s="4"/>
      <c r="F68" s="2" t="e">
        <f t="shared" ref="F68:F102" si="2">D68/E68</f>
        <v>#DIV/0!</v>
      </c>
      <c r="G68" s="4"/>
      <c r="H68" s="9" t="e">
        <f t="shared" ref="H68:H102" si="3">1.945*10^-10*F68^1.5/G68</f>
        <v>#DIV/0!</v>
      </c>
      <c r="I68" s="9"/>
    </row>
    <row r="69" spans="2:9">
      <c r="B69" s="2">
        <v>67</v>
      </c>
      <c r="C69" s="2">
        <v>1</v>
      </c>
      <c r="D69" s="2">
        <v>3.8200000000000002E-4</v>
      </c>
      <c r="E69" s="4"/>
      <c r="F69" s="2" t="e">
        <f t="shared" si="2"/>
        <v>#DIV/0!</v>
      </c>
      <c r="G69" s="4"/>
      <c r="H69" s="9" t="e">
        <f t="shared" si="3"/>
        <v>#DIV/0!</v>
      </c>
      <c r="I69" s="9"/>
    </row>
    <row r="70" spans="2:9">
      <c r="B70" s="2">
        <v>68</v>
      </c>
      <c r="C70" s="2">
        <v>1</v>
      </c>
      <c r="D70" s="2">
        <v>3.8200000000000002E-4</v>
      </c>
      <c r="E70" s="4"/>
      <c r="F70" s="2" t="e">
        <f t="shared" si="2"/>
        <v>#DIV/0!</v>
      </c>
      <c r="G70" s="4"/>
      <c r="H70" s="9" t="e">
        <f t="shared" si="3"/>
        <v>#DIV/0!</v>
      </c>
      <c r="I70" s="9"/>
    </row>
    <row r="71" spans="2:9">
      <c r="B71" s="2">
        <v>69</v>
      </c>
      <c r="C71" s="2">
        <v>1</v>
      </c>
      <c r="D71" s="2">
        <v>3.8200000000000002E-4</v>
      </c>
      <c r="E71" s="4"/>
      <c r="F71" s="2" t="e">
        <f t="shared" si="2"/>
        <v>#DIV/0!</v>
      </c>
      <c r="G71" s="4"/>
      <c r="H71" s="9" t="e">
        <f t="shared" si="3"/>
        <v>#DIV/0!</v>
      </c>
      <c r="I71" s="9"/>
    </row>
    <row r="72" spans="2:9">
      <c r="B72" s="2">
        <v>70</v>
      </c>
      <c r="C72" s="2">
        <v>1</v>
      </c>
      <c r="D72" s="2">
        <v>3.8200000000000002E-4</v>
      </c>
      <c r="E72" s="4"/>
      <c r="F72" s="2" t="e">
        <f t="shared" si="2"/>
        <v>#DIV/0!</v>
      </c>
      <c r="G72" s="4"/>
      <c r="H72" s="9" t="e">
        <f t="shared" si="3"/>
        <v>#DIV/0!</v>
      </c>
      <c r="I72" s="9"/>
    </row>
    <row r="73" spans="2:9">
      <c r="B73" s="2">
        <v>71</v>
      </c>
      <c r="C73" s="2">
        <v>1</v>
      </c>
      <c r="D73" s="2">
        <v>3.8200000000000002E-4</v>
      </c>
      <c r="E73" s="4"/>
      <c r="F73" s="2" t="e">
        <f t="shared" si="2"/>
        <v>#DIV/0!</v>
      </c>
      <c r="G73" s="4"/>
      <c r="H73" s="9" t="e">
        <f t="shared" si="3"/>
        <v>#DIV/0!</v>
      </c>
      <c r="I73" s="9"/>
    </row>
    <row r="74" spans="2:9">
      <c r="B74" s="2">
        <v>72</v>
      </c>
      <c r="C74" s="2">
        <v>1</v>
      </c>
      <c r="D74" s="2">
        <v>3.8200000000000002E-4</v>
      </c>
      <c r="E74" s="4"/>
      <c r="F74" s="2" t="e">
        <f t="shared" si="2"/>
        <v>#DIV/0!</v>
      </c>
      <c r="G74" s="4"/>
      <c r="H74" s="9" t="e">
        <f t="shared" si="3"/>
        <v>#DIV/0!</v>
      </c>
      <c r="I74" s="9"/>
    </row>
    <row r="75" spans="2:9">
      <c r="B75" s="2">
        <v>73</v>
      </c>
      <c r="C75" s="2">
        <v>1</v>
      </c>
      <c r="D75" s="2">
        <v>3.8200000000000002E-4</v>
      </c>
      <c r="E75" s="4"/>
      <c r="F75" s="2" t="e">
        <f t="shared" si="2"/>
        <v>#DIV/0!</v>
      </c>
      <c r="G75" s="4"/>
      <c r="H75" s="9" t="e">
        <f t="shared" si="3"/>
        <v>#DIV/0!</v>
      </c>
      <c r="I75" s="9"/>
    </row>
    <row r="76" spans="2:9">
      <c r="B76" s="2">
        <v>74</v>
      </c>
      <c r="C76" s="2">
        <v>1</v>
      </c>
      <c r="D76" s="2">
        <v>3.8200000000000002E-4</v>
      </c>
      <c r="E76" s="4"/>
      <c r="F76" s="2" t="e">
        <f t="shared" si="2"/>
        <v>#DIV/0!</v>
      </c>
      <c r="G76" s="4"/>
      <c r="H76" s="9" t="e">
        <f t="shared" si="3"/>
        <v>#DIV/0!</v>
      </c>
      <c r="I76" s="9"/>
    </row>
    <row r="77" spans="2:9">
      <c r="B77" s="2">
        <v>75</v>
      </c>
      <c r="C77" s="2">
        <v>1</v>
      </c>
      <c r="D77" s="2">
        <v>3.8200000000000002E-4</v>
      </c>
      <c r="E77" s="4"/>
      <c r="F77" s="2" t="e">
        <f t="shared" si="2"/>
        <v>#DIV/0!</v>
      </c>
      <c r="G77" s="4"/>
      <c r="H77" s="9" t="e">
        <f t="shared" si="3"/>
        <v>#DIV/0!</v>
      </c>
      <c r="I77" s="9"/>
    </row>
    <row r="78" spans="2:9">
      <c r="B78" s="2">
        <v>76</v>
      </c>
      <c r="C78" s="2">
        <v>1</v>
      </c>
      <c r="D78" s="2">
        <v>3.8200000000000002E-4</v>
      </c>
      <c r="E78" s="4"/>
      <c r="F78" s="2" t="e">
        <f t="shared" si="2"/>
        <v>#DIV/0!</v>
      </c>
      <c r="G78" s="4"/>
      <c r="H78" s="9" t="e">
        <f t="shared" si="3"/>
        <v>#DIV/0!</v>
      </c>
      <c r="I78" s="9"/>
    </row>
    <row r="79" spans="2:9">
      <c r="B79" s="2">
        <v>77</v>
      </c>
      <c r="C79" s="2">
        <v>1</v>
      </c>
      <c r="D79" s="2">
        <v>3.8200000000000002E-4</v>
      </c>
      <c r="E79" s="4"/>
      <c r="F79" s="2" t="e">
        <f t="shared" si="2"/>
        <v>#DIV/0!</v>
      </c>
      <c r="G79" s="4"/>
      <c r="H79" s="9" t="e">
        <f t="shared" si="3"/>
        <v>#DIV/0!</v>
      </c>
      <c r="I79" s="9"/>
    </row>
    <row r="80" spans="2:9">
      <c r="B80" s="2">
        <v>78</v>
      </c>
      <c r="C80" s="2">
        <v>1</v>
      </c>
      <c r="D80" s="2">
        <v>3.8200000000000002E-4</v>
      </c>
      <c r="E80" s="4"/>
      <c r="F80" s="2" t="e">
        <f t="shared" si="2"/>
        <v>#DIV/0!</v>
      </c>
      <c r="G80" s="4"/>
      <c r="H80" s="9" t="e">
        <f t="shared" si="3"/>
        <v>#DIV/0!</v>
      </c>
      <c r="I80" s="9"/>
    </row>
    <row r="81" spans="2:9">
      <c r="B81" s="2">
        <v>79</v>
      </c>
      <c r="C81" s="2">
        <v>1</v>
      </c>
      <c r="D81" s="2">
        <v>3.8200000000000002E-4</v>
      </c>
      <c r="E81" s="4"/>
      <c r="F81" s="2" t="e">
        <f t="shared" si="2"/>
        <v>#DIV/0!</v>
      </c>
      <c r="G81" s="4"/>
      <c r="H81" s="9" t="e">
        <f t="shared" si="3"/>
        <v>#DIV/0!</v>
      </c>
      <c r="I81" s="9"/>
    </row>
    <row r="82" spans="2:9">
      <c r="B82" s="2">
        <v>80</v>
      </c>
      <c r="C82" s="2">
        <v>1</v>
      </c>
      <c r="D82" s="2">
        <v>3.8200000000000002E-4</v>
      </c>
      <c r="E82" s="4"/>
      <c r="F82" s="2" t="e">
        <f t="shared" si="2"/>
        <v>#DIV/0!</v>
      </c>
      <c r="G82" s="4"/>
      <c r="H82" s="9" t="e">
        <f t="shared" si="3"/>
        <v>#DIV/0!</v>
      </c>
      <c r="I82" s="9"/>
    </row>
    <row r="83" spans="2:9">
      <c r="B83" s="2">
        <v>81</v>
      </c>
      <c r="C83" s="2">
        <v>1</v>
      </c>
      <c r="D83" s="2">
        <v>3.8200000000000002E-4</v>
      </c>
      <c r="E83" s="4"/>
      <c r="F83" s="2" t="e">
        <f t="shared" si="2"/>
        <v>#DIV/0!</v>
      </c>
      <c r="G83" s="4"/>
      <c r="H83" s="9" t="e">
        <f t="shared" si="3"/>
        <v>#DIV/0!</v>
      </c>
      <c r="I83" s="9"/>
    </row>
    <row r="84" spans="2:9">
      <c r="B84" s="2">
        <v>82</v>
      </c>
      <c r="C84" s="2">
        <v>1</v>
      </c>
      <c r="D84" s="2">
        <v>3.8200000000000002E-4</v>
      </c>
      <c r="E84" s="4"/>
      <c r="F84" s="2" t="e">
        <f t="shared" si="2"/>
        <v>#DIV/0!</v>
      </c>
      <c r="G84" s="4"/>
      <c r="H84" s="9" t="e">
        <f t="shared" si="3"/>
        <v>#DIV/0!</v>
      </c>
      <c r="I84" s="9"/>
    </row>
    <row r="85" spans="2:9">
      <c r="B85" s="2">
        <v>83</v>
      </c>
      <c r="C85" s="2">
        <v>1</v>
      </c>
      <c r="D85" s="2">
        <v>3.8200000000000002E-4</v>
      </c>
      <c r="E85" s="4"/>
      <c r="F85" s="2" t="e">
        <f t="shared" si="2"/>
        <v>#DIV/0!</v>
      </c>
      <c r="G85" s="4"/>
      <c r="H85" s="9" t="e">
        <f t="shared" si="3"/>
        <v>#DIV/0!</v>
      </c>
      <c r="I85" s="9"/>
    </row>
    <row r="86" spans="2:9">
      <c r="B86" s="2">
        <v>84</v>
      </c>
      <c r="C86" s="2">
        <v>1</v>
      </c>
      <c r="D86" s="2">
        <v>3.8200000000000002E-4</v>
      </c>
      <c r="E86" s="4"/>
      <c r="F86" s="2" t="e">
        <f t="shared" si="2"/>
        <v>#DIV/0!</v>
      </c>
      <c r="G86" s="4"/>
      <c r="H86" s="9" t="e">
        <f t="shared" si="3"/>
        <v>#DIV/0!</v>
      </c>
      <c r="I86" s="9"/>
    </row>
    <row r="87" spans="2:9">
      <c r="B87" s="2">
        <v>85</v>
      </c>
      <c r="C87" s="2">
        <v>1</v>
      </c>
      <c r="D87" s="2">
        <v>3.8200000000000002E-4</v>
      </c>
      <c r="E87" s="4"/>
      <c r="F87" s="2" t="e">
        <f t="shared" si="2"/>
        <v>#DIV/0!</v>
      </c>
      <c r="G87" s="4"/>
      <c r="H87" s="9" t="e">
        <f t="shared" si="3"/>
        <v>#DIV/0!</v>
      </c>
      <c r="I87" s="9"/>
    </row>
    <row r="88" spans="2:9">
      <c r="B88" s="2">
        <v>86</v>
      </c>
      <c r="C88" s="2">
        <v>1</v>
      </c>
      <c r="D88" s="2">
        <v>3.8200000000000002E-4</v>
      </c>
      <c r="E88" s="4"/>
      <c r="F88" s="2" t="e">
        <f t="shared" si="2"/>
        <v>#DIV/0!</v>
      </c>
      <c r="G88" s="4"/>
      <c r="H88" s="9" t="e">
        <f t="shared" si="3"/>
        <v>#DIV/0!</v>
      </c>
      <c r="I88" s="9"/>
    </row>
    <row r="89" spans="2:9">
      <c r="B89" s="2">
        <v>87</v>
      </c>
      <c r="C89" s="2">
        <v>1</v>
      </c>
      <c r="D89" s="2">
        <v>3.8200000000000002E-4</v>
      </c>
      <c r="E89" s="4"/>
      <c r="F89" s="2" t="e">
        <f t="shared" si="2"/>
        <v>#DIV/0!</v>
      </c>
      <c r="G89" s="4"/>
      <c r="H89" s="9" t="e">
        <f t="shared" si="3"/>
        <v>#DIV/0!</v>
      </c>
      <c r="I89" s="9"/>
    </row>
    <row r="90" spans="2:9">
      <c r="B90" s="2">
        <v>88</v>
      </c>
      <c r="C90" s="2">
        <v>1</v>
      </c>
      <c r="D90" s="2">
        <v>3.8200000000000002E-4</v>
      </c>
      <c r="E90" s="4"/>
      <c r="F90" s="2" t="e">
        <f t="shared" si="2"/>
        <v>#DIV/0!</v>
      </c>
      <c r="G90" s="4"/>
      <c r="H90" s="9" t="e">
        <f t="shared" si="3"/>
        <v>#DIV/0!</v>
      </c>
      <c r="I90" s="9"/>
    </row>
    <row r="91" spans="2:9">
      <c r="B91" s="2">
        <v>89</v>
      </c>
      <c r="C91" s="2">
        <v>1</v>
      </c>
      <c r="D91" s="2">
        <v>3.8200000000000002E-4</v>
      </c>
      <c r="E91" s="4"/>
      <c r="F91" s="2" t="e">
        <f t="shared" si="2"/>
        <v>#DIV/0!</v>
      </c>
      <c r="G91" s="4"/>
      <c r="H91" s="9" t="e">
        <f t="shared" si="3"/>
        <v>#DIV/0!</v>
      </c>
      <c r="I91" s="9"/>
    </row>
    <row r="92" spans="2:9">
      <c r="B92" s="2">
        <v>90</v>
      </c>
      <c r="C92" s="2">
        <v>1</v>
      </c>
      <c r="D92" s="2">
        <v>3.8200000000000002E-4</v>
      </c>
      <c r="E92" s="4"/>
      <c r="F92" s="2" t="e">
        <f t="shared" si="2"/>
        <v>#DIV/0!</v>
      </c>
      <c r="G92" s="4"/>
      <c r="H92" s="9" t="e">
        <f t="shared" si="3"/>
        <v>#DIV/0!</v>
      </c>
      <c r="I92" s="9"/>
    </row>
    <row r="93" spans="2:9">
      <c r="B93" s="2">
        <v>91</v>
      </c>
      <c r="C93" s="2">
        <v>1</v>
      </c>
      <c r="D93" s="2">
        <v>3.8200000000000002E-4</v>
      </c>
      <c r="E93" s="4"/>
      <c r="F93" s="2" t="e">
        <f t="shared" si="2"/>
        <v>#DIV/0!</v>
      </c>
      <c r="G93" s="4"/>
      <c r="H93" s="9" t="e">
        <f t="shared" si="3"/>
        <v>#DIV/0!</v>
      </c>
      <c r="I93" s="9"/>
    </row>
    <row r="94" spans="2:9">
      <c r="B94" s="2">
        <v>92</v>
      </c>
      <c r="C94" s="2">
        <v>1</v>
      </c>
      <c r="D94" s="2">
        <v>3.8200000000000002E-4</v>
      </c>
      <c r="E94" s="4"/>
      <c r="F94" s="2" t="e">
        <f t="shared" si="2"/>
        <v>#DIV/0!</v>
      </c>
      <c r="G94" s="4"/>
      <c r="H94" s="9" t="e">
        <f t="shared" si="3"/>
        <v>#DIV/0!</v>
      </c>
      <c r="I94" s="9"/>
    </row>
    <row r="95" spans="2:9">
      <c r="B95" s="2">
        <v>93</v>
      </c>
      <c r="C95" s="2">
        <v>1</v>
      </c>
      <c r="D95" s="2">
        <v>3.8200000000000002E-4</v>
      </c>
      <c r="E95" s="4"/>
      <c r="F95" s="2" t="e">
        <f t="shared" si="2"/>
        <v>#DIV/0!</v>
      </c>
      <c r="G95" s="4"/>
      <c r="H95" s="9" t="e">
        <f t="shared" si="3"/>
        <v>#DIV/0!</v>
      </c>
      <c r="I95" s="9"/>
    </row>
    <row r="96" spans="2:9">
      <c r="B96" s="2">
        <v>94</v>
      </c>
      <c r="C96" s="2">
        <v>1</v>
      </c>
      <c r="D96" s="2">
        <v>3.8200000000000002E-4</v>
      </c>
      <c r="E96" s="4"/>
      <c r="F96" s="2" t="e">
        <f t="shared" si="2"/>
        <v>#DIV/0!</v>
      </c>
      <c r="G96" s="4"/>
      <c r="H96" s="9" t="e">
        <f t="shared" si="3"/>
        <v>#DIV/0!</v>
      </c>
      <c r="I96" s="9"/>
    </row>
    <row r="97" spans="2:9">
      <c r="B97" s="2">
        <v>95</v>
      </c>
      <c r="C97" s="2">
        <v>1</v>
      </c>
      <c r="D97" s="2">
        <v>3.8200000000000002E-4</v>
      </c>
      <c r="E97" s="4"/>
      <c r="F97" s="2" t="e">
        <f t="shared" si="2"/>
        <v>#DIV/0!</v>
      </c>
      <c r="G97" s="4"/>
      <c r="H97" s="9" t="e">
        <f t="shared" si="3"/>
        <v>#DIV/0!</v>
      </c>
      <c r="I97" s="9"/>
    </row>
    <row r="98" spans="2:9">
      <c r="B98" s="2">
        <v>96</v>
      </c>
      <c r="C98" s="2">
        <v>1</v>
      </c>
      <c r="D98" s="2">
        <v>3.8200000000000002E-4</v>
      </c>
      <c r="E98" s="4"/>
      <c r="F98" s="2" t="e">
        <f t="shared" si="2"/>
        <v>#DIV/0!</v>
      </c>
      <c r="G98" s="4"/>
      <c r="H98" s="9" t="e">
        <f t="shared" si="3"/>
        <v>#DIV/0!</v>
      </c>
      <c r="I98" s="9"/>
    </row>
    <row r="99" spans="2:9">
      <c r="B99" s="2">
        <v>97</v>
      </c>
      <c r="C99" s="2">
        <v>1</v>
      </c>
      <c r="D99" s="2">
        <v>3.8200000000000002E-4</v>
      </c>
      <c r="E99" s="4"/>
      <c r="F99" s="2" t="e">
        <f t="shared" si="2"/>
        <v>#DIV/0!</v>
      </c>
      <c r="G99" s="4"/>
      <c r="H99" s="9" t="e">
        <f t="shared" si="3"/>
        <v>#DIV/0!</v>
      </c>
      <c r="I99" s="9"/>
    </row>
    <row r="100" spans="2:9">
      <c r="B100" s="2">
        <v>98</v>
      </c>
      <c r="C100" s="2">
        <v>1</v>
      </c>
      <c r="D100" s="2">
        <v>3.8200000000000002E-4</v>
      </c>
      <c r="E100" s="4"/>
      <c r="F100" s="2" t="e">
        <f t="shared" si="2"/>
        <v>#DIV/0!</v>
      </c>
      <c r="G100" s="4"/>
      <c r="H100" s="9" t="e">
        <f t="shared" si="3"/>
        <v>#DIV/0!</v>
      </c>
      <c r="I100" s="9"/>
    </row>
    <row r="101" spans="2:9">
      <c r="B101" s="2">
        <v>99</v>
      </c>
      <c r="C101" s="2">
        <v>1</v>
      </c>
      <c r="D101" s="2">
        <v>3.8200000000000002E-4</v>
      </c>
      <c r="E101" s="4"/>
      <c r="F101" s="2" t="e">
        <f t="shared" si="2"/>
        <v>#DIV/0!</v>
      </c>
      <c r="G101" s="4"/>
      <c r="H101" s="9" t="e">
        <f t="shared" si="3"/>
        <v>#DIV/0!</v>
      </c>
      <c r="I101" s="9"/>
    </row>
    <row r="102" spans="2:9">
      <c r="B102" s="2">
        <v>100</v>
      </c>
      <c r="C102" s="2">
        <v>1</v>
      </c>
      <c r="D102" s="2">
        <v>3.8200000000000002E-4</v>
      </c>
      <c r="E102" s="4"/>
      <c r="F102" s="2" t="e">
        <f t="shared" si="2"/>
        <v>#DIV/0!</v>
      </c>
      <c r="G102" s="4"/>
      <c r="H102" s="9" t="e">
        <f t="shared" si="3"/>
        <v>#DIV/0!</v>
      </c>
      <c r="I102" s="9"/>
    </row>
  </sheetData>
  <mergeCells count="153">
    <mergeCell ref="H8:I8"/>
    <mergeCell ref="H9:I9"/>
    <mergeCell ref="H10:I10"/>
    <mergeCell ref="H11:I11"/>
    <mergeCell ref="H12:I12"/>
    <mergeCell ref="H13:I13"/>
    <mergeCell ref="H2:I2"/>
    <mergeCell ref="H3:I3"/>
    <mergeCell ref="H4:I4"/>
    <mergeCell ref="H5:I5"/>
    <mergeCell ref="H6:I6"/>
    <mergeCell ref="H7:I7"/>
    <mergeCell ref="H20:I20"/>
    <mergeCell ref="H21:I21"/>
    <mergeCell ref="H22:I22"/>
    <mergeCell ref="H23:I23"/>
    <mergeCell ref="H24:I24"/>
    <mergeCell ref="H25:I25"/>
    <mergeCell ref="H14:I14"/>
    <mergeCell ref="H15:I15"/>
    <mergeCell ref="H16:I16"/>
    <mergeCell ref="H17:I17"/>
    <mergeCell ref="H18:I18"/>
    <mergeCell ref="H19:I19"/>
    <mergeCell ref="H32:I32"/>
    <mergeCell ref="H33:I33"/>
    <mergeCell ref="H34:I34"/>
    <mergeCell ref="H35:I35"/>
    <mergeCell ref="H36:I36"/>
    <mergeCell ref="H37:I37"/>
    <mergeCell ref="H26:I26"/>
    <mergeCell ref="H27:I27"/>
    <mergeCell ref="H28:I28"/>
    <mergeCell ref="H29:I29"/>
    <mergeCell ref="H30:I30"/>
    <mergeCell ref="H31:I31"/>
    <mergeCell ref="H44:I44"/>
    <mergeCell ref="H45:I45"/>
    <mergeCell ref="H46:I46"/>
    <mergeCell ref="H47:I47"/>
    <mergeCell ref="H48:I48"/>
    <mergeCell ref="H49:I49"/>
    <mergeCell ref="H38:I38"/>
    <mergeCell ref="H39:I39"/>
    <mergeCell ref="H40:I40"/>
    <mergeCell ref="H41:I41"/>
    <mergeCell ref="H42:I42"/>
    <mergeCell ref="H43:I43"/>
    <mergeCell ref="H56:I56"/>
    <mergeCell ref="H57:I57"/>
    <mergeCell ref="H58:I58"/>
    <mergeCell ref="H59:I59"/>
    <mergeCell ref="H60:I60"/>
    <mergeCell ref="H61:I61"/>
    <mergeCell ref="H50:I50"/>
    <mergeCell ref="H51:I51"/>
    <mergeCell ref="H52:I52"/>
    <mergeCell ref="H53:I53"/>
    <mergeCell ref="H54:I54"/>
    <mergeCell ref="H55:I55"/>
    <mergeCell ref="H68:I68"/>
    <mergeCell ref="H69:I69"/>
    <mergeCell ref="H70:I70"/>
    <mergeCell ref="H71:I71"/>
    <mergeCell ref="H72:I72"/>
    <mergeCell ref="H73:I73"/>
    <mergeCell ref="H62:I62"/>
    <mergeCell ref="H63:I63"/>
    <mergeCell ref="H64:I64"/>
    <mergeCell ref="H65:I65"/>
    <mergeCell ref="H66:I66"/>
    <mergeCell ref="H67:I67"/>
    <mergeCell ref="H82:I82"/>
    <mergeCell ref="H83:I83"/>
    <mergeCell ref="H84:I84"/>
    <mergeCell ref="H85:I85"/>
    <mergeCell ref="H74:I74"/>
    <mergeCell ref="H75:I75"/>
    <mergeCell ref="H76:I76"/>
    <mergeCell ref="H77:I77"/>
    <mergeCell ref="H78:I78"/>
    <mergeCell ref="H79:I79"/>
    <mergeCell ref="H98:I98"/>
    <mergeCell ref="H99:I99"/>
    <mergeCell ref="H100:I100"/>
    <mergeCell ref="H101:I101"/>
    <mergeCell ref="H102:I102"/>
    <mergeCell ref="L2:M2"/>
    <mergeCell ref="L3:M3"/>
    <mergeCell ref="L4:M4"/>
    <mergeCell ref="L5:M5"/>
    <mergeCell ref="L6:M6"/>
    <mergeCell ref="H92:I92"/>
    <mergeCell ref="H93:I93"/>
    <mergeCell ref="H94:I94"/>
    <mergeCell ref="H95:I95"/>
    <mergeCell ref="H96:I96"/>
    <mergeCell ref="H97:I97"/>
    <mergeCell ref="H86:I86"/>
    <mergeCell ref="H87:I87"/>
    <mergeCell ref="H88:I88"/>
    <mergeCell ref="H89:I89"/>
    <mergeCell ref="H90:I90"/>
    <mergeCell ref="H91:I91"/>
    <mergeCell ref="H80:I80"/>
    <mergeCell ref="H81:I81"/>
    <mergeCell ref="L13:M13"/>
    <mergeCell ref="L14:M14"/>
    <mergeCell ref="L15:M15"/>
    <mergeCell ref="L16:M16"/>
    <mergeCell ref="L17:M17"/>
    <mergeCell ref="L18:M18"/>
    <mergeCell ref="L7:M7"/>
    <mergeCell ref="L8:M8"/>
    <mergeCell ref="L9:M9"/>
    <mergeCell ref="L10:M10"/>
    <mergeCell ref="L11:M11"/>
    <mergeCell ref="L12:M12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L37:M37"/>
    <mergeCell ref="L38:M38"/>
    <mergeCell ref="L39:M39"/>
    <mergeCell ref="L40:M40"/>
    <mergeCell ref="L41:M41"/>
    <mergeCell ref="L42:M42"/>
    <mergeCell ref="L31:M31"/>
    <mergeCell ref="L32:M32"/>
    <mergeCell ref="L33:M33"/>
    <mergeCell ref="L34:M34"/>
    <mergeCell ref="L35:M35"/>
    <mergeCell ref="L36:M36"/>
    <mergeCell ref="L49:M49"/>
    <mergeCell ref="L50:M50"/>
    <mergeCell ref="L51:M51"/>
    <mergeCell ref="L52:M52"/>
    <mergeCell ref="L53:M53"/>
    <mergeCell ref="L43:M43"/>
    <mergeCell ref="L44:M44"/>
    <mergeCell ref="L45:M45"/>
    <mergeCell ref="L46:M46"/>
    <mergeCell ref="L47:M47"/>
    <mergeCell ref="L48:M4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2025-11-30T18:00:22Z</dcterms:created>
  <dcterms:modified xsi:type="dcterms:W3CDTF">2026-04-02T02:38:26Z</dcterms:modified>
</cp:coreProperties>
</file>