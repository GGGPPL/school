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tuy\Documents\GitHub\school\one down\普物實驗\6 密立根油滴實驗\"/>
    </mc:Choice>
  </mc:AlternateContent>
  <xr:revisionPtr revIDLastSave="0" documentId="13_ncr:1_{2F754429-B30D-4202-BD04-3ADB79F7BBDB}" xr6:coauthVersionLast="47" xr6:coauthVersionMax="47" xr10:uidLastSave="{00000000-0000-0000-0000-000000000000}"/>
  <bookViews>
    <workbookView xWindow="-108" yWindow="-108" windowWidth="41496" windowHeight="16776" xr2:uid="{DB1FF5BB-3E16-44F6-8EBE-091011F52E70}"/>
  </bookViews>
  <sheets>
    <sheet name="工作表1" sheetId="1" r:id="rId1"/>
  </sheets>
  <definedNames>
    <definedName name="_xlchart.v1.0" hidden="1">工作表1!$L$2</definedName>
    <definedName name="_xlchart.v1.1" hidden="1">工作表1!$L$3:$L$52</definedName>
    <definedName name="_xlchart.v1.2" hidden="1">工作表1!$M$2</definedName>
    <definedName name="_xlchart.v1.3" hidden="1">工作表1!$M$3:$M$52</definedName>
    <definedName name="_xlchart.v1.4" hidden="1">工作表1!$N$2</definedName>
    <definedName name="_xlchart.v1.5" hidden="1">工作表1!$N$3:$N$52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" l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3" i="1"/>
  <c r="H3" i="1" s="1"/>
  <c r="N3" i="1" l="1" a="1"/>
  <c r="N3" i="1" s="1"/>
  <c r="N51" i="1" l="1"/>
  <c r="N4" i="1"/>
  <c r="N13" i="1"/>
  <c r="N19" i="1"/>
  <c r="N43" i="1"/>
  <c r="N12" i="1"/>
  <c r="N52" i="1"/>
  <c r="N5" i="1"/>
  <c r="N21" i="1"/>
  <c r="N37" i="1"/>
  <c r="N14" i="1"/>
  <c r="N8" i="1"/>
  <c r="N11" i="1"/>
  <c r="N35" i="1"/>
  <c r="N28" i="1"/>
  <c r="N20" i="1"/>
  <c r="N36" i="1"/>
  <c r="N44" i="1"/>
  <c r="N29" i="1"/>
  <c r="N45" i="1"/>
  <c r="N6" i="1"/>
  <c r="N22" i="1"/>
  <c r="N30" i="1"/>
  <c r="N38" i="1"/>
  <c r="N46" i="1"/>
  <c r="N7" i="1"/>
  <c r="N15" i="1"/>
  <c r="N23" i="1"/>
  <c r="N31" i="1"/>
  <c r="N39" i="1"/>
  <c r="N47" i="1"/>
  <c r="N16" i="1"/>
  <c r="N24" i="1"/>
  <c r="N32" i="1"/>
  <c r="N40" i="1"/>
  <c r="N48" i="1"/>
  <c r="N9" i="1"/>
  <c r="N17" i="1"/>
  <c r="N25" i="1"/>
  <c r="N33" i="1"/>
  <c r="N41" i="1"/>
  <c r="N49" i="1"/>
  <c r="N10" i="1"/>
  <c r="N18" i="1"/>
  <c r="N26" i="1"/>
  <c r="N27" i="1"/>
  <c r="N34" i="1"/>
  <c r="N42" i="1"/>
  <c r="N50" i="1"/>
</calcChain>
</file>

<file path=xl/sharedStrings.xml><?xml version="1.0" encoding="utf-8"?>
<sst xmlns="http://schemas.openxmlformats.org/spreadsheetml/2006/main" count="10" uniqueCount="10">
  <si>
    <t>X(格數)</t>
  </si>
  <si>
    <t>S(m)</t>
  </si>
  <si>
    <t>T(s)</t>
  </si>
  <si>
    <t>Q(coulomb)</t>
  </si>
  <si>
    <t>區間</t>
  </si>
  <si>
    <t>個數</t>
  </si>
  <si>
    <t xml:space="preserve">V1(m/s) </t>
  </si>
  <si>
    <t>U0(V)</t>
  </si>
  <si>
    <t>大於5.0E-19</t>
    <phoneticPr fontId="1" type="noConversion"/>
  </si>
  <si>
    <t>次數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</si>
</sst>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DFKai-SB"/>
      <family val="4"/>
      <charset val="136"/>
    </font>
    <font>
      <sz val="1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F2D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1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1" fontId="0" fillId="0" borderId="0" xfId="0" applyNumberFormat="1">
      <alignment vertical="center"/>
    </xf>
    <xf numFmtId="0" fontId="6" fillId="0" borderId="0" xfId="0" applyFont="1" applyBorder="1" applyAlignment="1">
      <alignment vertical="center" wrapText="1" readingOrder="1"/>
    </xf>
    <xf numFmtId="0" fontId="5" fillId="0" borderId="0" xfId="0" applyFont="1" applyBorder="1" applyAlignment="1">
      <alignment vertical="center" wrapText="1" readingOrder="1"/>
    </xf>
    <xf numFmtId="11" fontId="5" fillId="0" borderId="0" xfId="0" applyNumberFormat="1" applyFont="1" applyBorder="1" applyAlignment="1">
      <alignment vertical="center" wrapText="1" readingOrder="1"/>
    </xf>
    <xf numFmtId="0" fontId="0" fillId="0" borderId="0" xfId="0" applyBorder="1">
      <alignment vertical="center"/>
    </xf>
    <xf numFmtId="11" fontId="0" fillId="0" borderId="0" xfId="0" applyNumberForma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EFB47B4B-4C1F-4CF9-A965-E782A27B7B23}" formatIdx="0">
          <cx:tx>
            <cx:txData>
              <cx:f>_xlchart.v1.0</cx:f>
              <cx:v>區間</cx:v>
            </cx:txData>
          </cx:tx>
          <cx:spPr>
            <a:solidFill>
              <a:schemeClr val="tx1"/>
            </a:solidFill>
          </cx:spPr>
          <cx:dataId val="0"/>
          <cx:layoutPr>
            <cx:binning intervalClosed="r"/>
          </cx:layoutPr>
        </cx:series>
        <cx:series layoutId="clusteredColumn" hidden="1" uniqueId="{5597F895-2740-437A-B876-2D7FD89BF48C}" formatIdx="1">
          <cx:tx>
            <cx:txData>
              <cx:f>_xlchart.v1.2</cx:f>
              <cx:v/>
            </cx:txData>
          </cx:tx>
          <cx:dataId val="1"/>
          <cx:layoutPr>
            <cx:binning intervalClosed="r"/>
          </cx:layoutPr>
        </cx:series>
        <cx:series layoutId="clusteredColumn" hidden="1" uniqueId="{13374917-7E77-4835-ADAD-B237BC2EB100}" formatIdx="2">
          <cx:tx>
            <cx:txData>
              <cx:f>_xlchart.v1.4</cx:f>
              <cx:v>個數</cx:v>
            </cx:txData>
          </cx:tx>
          <cx:dataId val="2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435570</xdr:colOff>
      <xdr:row>10</xdr:row>
      <xdr:rowOff>144461</xdr:rowOff>
    </xdr:from>
    <xdr:to>
      <xdr:col>22</xdr:col>
      <xdr:colOff>185820</xdr:colOff>
      <xdr:row>23</xdr:row>
      <xdr:rowOff>65880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圖表 4">
              <a:extLst>
                <a:ext uri="{FF2B5EF4-FFF2-40B4-BE49-F238E27FC236}">
                  <a16:creationId xmlns:a16="http://schemas.microsoft.com/office/drawing/2014/main" id="{F2C3D6D5-CF4B-E6DD-8171-6AF41FFA0B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3390" y="2201861"/>
              <a:ext cx="4627050" cy="25960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9739-BEEB-4B53-8EC5-6DC56A0166CA}">
  <dimension ref="B2:AF102"/>
  <sheetViews>
    <sheetView tabSelected="1" zoomScale="53" zoomScaleNormal="53" workbookViewId="0">
      <selection activeCell="L28" sqref="L28:N53"/>
    </sheetView>
  </sheetViews>
  <sheetFormatPr defaultRowHeight="16.2"/>
  <cols>
    <col min="2" max="2" width="11.77734375" customWidth="1"/>
    <col min="3" max="3" width="9" bestFit="1" customWidth="1"/>
    <col min="4" max="4" width="10.44140625" bestFit="1" customWidth="1"/>
    <col min="5" max="5" width="9" bestFit="1" customWidth="1"/>
    <col min="6" max="6" width="14.21875" bestFit="1" customWidth="1"/>
    <col min="7" max="7" width="9" bestFit="1" customWidth="1"/>
  </cols>
  <sheetData>
    <row r="2" spans="2:14">
      <c r="B2" s="2" t="s">
        <v>9</v>
      </c>
      <c r="C2" s="2" t="s">
        <v>0</v>
      </c>
      <c r="D2" s="2" t="s">
        <v>1</v>
      </c>
      <c r="E2" s="2" t="s">
        <v>2</v>
      </c>
      <c r="F2" s="3" t="s">
        <v>6</v>
      </c>
      <c r="G2" s="3" t="s">
        <v>7</v>
      </c>
      <c r="H2" s="8" t="s">
        <v>3</v>
      </c>
      <c r="I2" s="9"/>
      <c r="L2" s="6" t="s">
        <v>4</v>
      </c>
      <c r="M2" s="6"/>
      <c r="N2" s="1" t="s">
        <v>5</v>
      </c>
    </row>
    <row r="3" spans="2:14">
      <c r="B3" s="2">
        <v>1</v>
      </c>
      <c r="C3" s="2">
        <v>1</v>
      </c>
      <c r="D3" s="2">
        <v>3.8200000000000002E-4</v>
      </c>
      <c r="E3" s="4">
        <v>19.71</v>
      </c>
      <c r="F3" s="2">
        <f>D3/E3</f>
        <v>1.9381024860476914E-5</v>
      </c>
      <c r="G3" s="4">
        <v>102.5</v>
      </c>
      <c r="H3" s="8">
        <f>1.945*10^-10*F3^1.5/G3</f>
        <v>1.6190521892403686E-19</v>
      </c>
      <c r="I3" s="9"/>
      <c r="L3" s="5">
        <v>9.9999999999999995E-21</v>
      </c>
      <c r="M3" s="5"/>
      <c r="N3" s="1">
        <f t="array" ref="N3:N52">FREQUENCY(H3:I52,L3:M52)</f>
        <v>0</v>
      </c>
    </row>
    <row r="4" spans="2:14">
      <c r="B4" s="2">
        <v>2</v>
      </c>
      <c r="C4" s="2">
        <v>1</v>
      </c>
      <c r="D4" s="2">
        <v>3.8200000000000002E-4</v>
      </c>
      <c r="E4" s="4">
        <v>10.130000000000001</v>
      </c>
      <c r="F4" s="2">
        <f t="shared" ref="F4:F67" si="0">D4/E4</f>
        <v>3.7709772951628824E-5</v>
      </c>
      <c r="G4" s="4">
        <v>93.4</v>
      </c>
      <c r="H4" s="8">
        <f t="shared" ref="H4:H67" si="1">1.945*10^-10*F4^1.5/G4</f>
        <v>4.8222931266951704E-19</v>
      </c>
      <c r="I4" s="9"/>
      <c r="L4" s="5">
        <v>1.9999999999999999E-20</v>
      </c>
      <c r="M4" s="5"/>
      <c r="N4" s="1">
        <v>0</v>
      </c>
    </row>
    <row r="5" spans="2:14">
      <c r="B5" s="2">
        <v>3</v>
      </c>
      <c r="C5" s="2">
        <v>1</v>
      </c>
      <c r="D5" s="2">
        <v>3.8200000000000002E-4</v>
      </c>
      <c r="E5" s="4">
        <v>25.52</v>
      </c>
      <c r="F5" s="2">
        <f t="shared" si="0"/>
        <v>1.4968652037617556E-5</v>
      </c>
      <c r="G5" s="4">
        <v>73.099999999999994</v>
      </c>
      <c r="H5" s="8">
        <f t="shared" si="1"/>
        <v>1.5409064320443441E-19</v>
      </c>
      <c r="I5" s="9"/>
      <c r="L5" s="5">
        <v>3.0000000000000003E-20</v>
      </c>
      <c r="M5" s="5"/>
      <c r="N5" s="1">
        <v>0</v>
      </c>
    </row>
    <row r="6" spans="2:14">
      <c r="B6" s="2">
        <v>4</v>
      </c>
      <c r="C6" s="2">
        <v>1</v>
      </c>
      <c r="D6" s="2">
        <v>3.8200000000000002E-4</v>
      </c>
      <c r="E6" s="4">
        <v>17.53</v>
      </c>
      <c r="F6" s="2">
        <f t="shared" si="0"/>
        <v>2.1791215059897318E-5</v>
      </c>
      <c r="G6" s="4">
        <v>115.8</v>
      </c>
      <c r="H6" s="8">
        <f t="shared" si="1"/>
        <v>1.708571730945013E-19</v>
      </c>
      <c r="I6" s="9"/>
      <c r="L6" s="5">
        <v>3.9999999999999998E-20</v>
      </c>
      <c r="M6" s="5"/>
      <c r="N6" s="1">
        <v>0</v>
      </c>
    </row>
    <row r="7" spans="2:14">
      <c r="B7" s="2">
        <v>5</v>
      </c>
      <c r="C7" s="2">
        <v>1</v>
      </c>
      <c r="D7" s="2">
        <v>3.8200000000000002E-4</v>
      </c>
      <c r="E7" s="4">
        <v>23.62</v>
      </c>
      <c r="F7" s="2">
        <f t="shared" si="0"/>
        <v>1.6172734970364097E-5</v>
      </c>
      <c r="G7" s="4">
        <v>78.400000000000006</v>
      </c>
      <c r="H7" s="8">
        <f t="shared" si="1"/>
        <v>1.6135363266837157E-19</v>
      </c>
      <c r="I7" s="9"/>
      <c r="L7" s="5">
        <v>4.9999999999999999E-20</v>
      </c>
      <c r="M7" s="5"/>
      <c r="N7" s="1">
        <v>0</v>
      </c>
    </row>
    <row r="8" spans="2:14">
      <c r="B8" s="2">
        <v>6</v>
      </c>
      <c r="C8" s="2">
        <v>1</v>
      </c>
      <c r="D8" s="2">
        <v>3.8200000000000002E-4</v>
      </c>
      <c r="E8" s="4">
        <v>21.06</v>
      </c>
      <c r="F8" s="2">
        <f t="shared" si="0"/>
        <v>1.8138651471984806E-5</v>
      </c>
      <c r="G8" s="4">
        <v>47.3</v>
      </c>
      <c r="H8" s="8">
        <f t="shared" si="1"/>
        <v>3.1766250698411249E-19</v>
      </c>
      <c r="I8" s="9"/>
      <c r="L8" s="5">
        <v>6.0000000000000006E-20</v>
      </c>
      <c r="M8" s="5"/>
      <c r="N8" s="1">
        <v>0</v>
      </c>
    </row>
    <row r="9" spans="2:14">
      <c r="B9" s="2">
        <v>7</v>
      </c>
      <c r="C9" s="2">
        <v>1</v>
      </c>
      <c r="D9" s="2">
        <v>3.8200000000000002E-4</v>
      </c>
      <c r="E9" s="4">
        <v>7.22</v>
      </c>
      <c r="F9" s="2">
        <f t="shared" si="0"/>
        <v>5.2908587257617734E-5</v>
      </c>
      <c r="G9" s="4">
        <v>118.2</v>
      </c>
      <c r="H9" s="8">
        <f t="shared" si="1"/>
        <v>6.3327359074808118E-19</v>
      </c>
      <c r="I9" s="9"/>
      <c r="L9" s="5">
        <v>7.0000000000000001E-20</v>
      </c>
      <c r="M9" s="5"/>
      <c r="N9" s="1">
        <v>0</v>
      </c>
    </row>
    <row r="10" spans="2:14">
      <c r="B10" s="2">
        <v>8</v>
      </c>
      <c r="C10" s="2">
        <v>1</v>
      </c>
      <c r="D10" s="2">
        <v>3.8200000000000002E-4</v>
      </c>
      <c r="E10" s="4">
        <v>18.28</v>
      </c>
      <c r="F10" s="2">
        <f t="shared" si="0"/>
        <v>2.0897155361050329E-5</v>
      </c>
      <c r="G10" s="4">
        <v>42.1</v>
      </c>
      <c r="H10" s="8">
        <f t="shared" si="1"/>
        <v>4.4133489495533817E-19</v>
      </c>
      <c r="I10" s="9"/>
      <c r="L10" s="5">
        <v>7.9999999999999996E-20</v>
      </c>
      <c r="M10" s="5"/>
      <c r="N10" s="1">
        <v>0</v>
      </c>
    </row>
    <row r="11" spans="2:14">
      <c r="B11" s="2">
        <v>9</v>
      </c>
      <c r="C11" s="2">
        <v>1</v>
      </c>
      <c r="D11" s="2">
        <v>3.8200000000000002E-4</v>
      </c>
      <c r="E11" s="4">
        <v>10.24</v>
      </c>
      <c r="F11" s="2">
        <f t="shared" si="0"/>
        <v>3.7304687499999998E-5</v>
      </c>
      <c r="G11" s="4">
        <v>141.5</v>
      </c>
      <c r="H11" s="8">
        <f t="shared" si="1"/>
        <v>3.1319028009888046E-19</v>
      </c>
      <c r="I11" s="9"/>
      <c r="L11" s="5">
        <v>9.0000000000000003E-20</v>
      </c>
      <c r="M11" s="5"/>
      <c r="N11" s="1">
        <v>0</v>
      </c>
    </row>
    <row r="12" spans="2:14">
      <c r="B12" s="2">
        <v>10</v>
      </c>
      <c r="C12" s="2">
        <v>1</v>
      </c>
      <c r="D12" s="2">
        <v>3.8200000000000002E-4</v>
      </c>
      <c r="E12" s="4">
        <v>10.35</v>
      </c>
      <c r="F12" s="2">
        <f t="shared" si="0"/>
        <v>3.6908212560386474E-5</v>
      </c>
      <c r="G12" s="4">
        <v>268.39999999999998</v>
      </c>
      <c r="H12" s="8">
        <f t="shared" si="1"/>
        <v>1.6248811998355345E-19</v>
      </c>
      <c r="I12" s="9"/>
      <c r="L12" s="5">
        <v>9.9999999999999998E-20</v>
      </c>
      <c r="M12" s="5"/>
      <c r="N12" s="1">
        <v>0</v>
      </c>
    </row>
    <row r="13" spans="2:14">
      <c r="B13" s="2">
        <v>11</v>
      </c>
      <c r="C13" s="2">
        <v>1</v>
      </c>
      <c r="D13" s="2">
        <v>3.8200000000000002E-4</v>
      </c>
      <c r="E13" s="4">
        <v>19.62</v>
      </c>
      <c r="F13" s="2">
        <f t="shared" si="0"/>
        <v>1.9469928644240569E-5</v>
      </c>
      <c r="G13" s="4">
        <v>54.2</v>
      </c>
      <c r="H13" s="8">
        <f t="shared" si="1"/>
        <v>3.0829526807059106E-19</v>
      </c>
      <c r="I13" s="9"/>
      <c r="L13" s="5">
        <v>1.0999999999999999E-19</v>
      </c>
      <c r="M13" s="5"/>
      <c r="N13" s="1">
        <v>0</v>
      </c>
    </row>
    <row r="14" spans="2:14">
      <c r="B14" s="2">
        <v>12</v>
      </c>
      <c r="C14" s="2">
        <v>1</v>
      </c>
      <c r="D14" s="2">
        <v>3.8200000000000002E-4</v>
      </c>
      <c r="E14" s="4">
        <v>9.82</v>
      </c>
      <c r="F14" s="2">
        <f t="shared" si="0"/>
        <v>3.8900203665987778E-5</v>
      </c>
      <c r="G14" s="4">
        <v>148.6</v>
      </c>
      <c r="H14" s="8">
        <f t="shared" si="1"/>
        <v>3.1756205883650899E-19</v>
      </c>
      <c r="I14" s="9"/>
      <c r="L14" s="5">
        <v>1.2000000000000001E-19</v>
      </c>
      <c r="M14" s="5"/>
      <c r="N14" s="1">
        <v>0</v>
      </c>
    </row>
    <row r="15" spans="2:14">
      <c r="B15" s="2">
        <v>13</v>
      </c>
      <c r="C15" s="2">
        <v>1</v>
      </c>
      <c r="D15" s="2">
        <v>3.8200000000000002E-4</v>
      </c>
      <c r="E15" s="4">
        <v>21.77</v>
      </c>
      <c r="F15" s="2">
        <f t="shared" si="0"/>
        <v>1.754708314193845E-5</v>
      </c>
      <c r="G15" s="4">
        <v>93.6</v>
      </c>
      <c r="H15" s="8">
        <f t="shared" si="1"/>
        <v>1.5273942724973247E-19</v>
      </c>
      <c r="I15" s="9"/>
      <c r="L15" s="5">
        <v>1.3000000000000001E-19</v>
      </c>
      <c r="M15" s="5"/>
      <c r="N15" s="1">
        <v>0</v>
      </c>
    </row>
    <row r="16" spans="2:14">
      <c r="B16" s="2">
        <v>14</v>
      </c>
      <c r="C16" s="2">
        <v>1</v>
      </c>
      <c r="D16" s="2">
        <v>3.8200000000000002E-4</v>
      </c>
      <c r="E16" s="4">
        <v>10.27</v>
      </c>
      <c r="F16" s="2">
        <f t="shared" si="0"/>
        <v>3.7195715676728335E-5</v>
      </c>
      <c r="G16" s="4">
        <v>272.5</v>
      </c>
      <c r="H16" s="8">
        <f t="shared" si="1"/>
        <v>1.6191701096095374E-19</v>
      </c>
      <c r="I16" s="9"/>
      <c r="L16" s="5">
        <v>1.4E-19</v>
      </c>
      <c r="M16" s="5"/>
      <c r="N16" s="1">
        <v>0</v>
      </c>
    </row>
    <row r="17" spans="2:32">
      <c r="B17" s="2">
        <v>15</v>
      </c>
      <c r="C17" s="2">
        <v>1</v>
      </c>
      <c r="D17" s="2">
        <v>3.8200000000000002E-4</v>
      </c>
      <c r="E17" s="4">
        <v>11.16</v>
      </c>
      <c r="F17" s="2">
        <f t="shared" si="0"/>
        <v>3.4229390681003587E-5</v>
      </c>
      <c r="G17" s="4">
        <v>224.8</v>
      </c>
      <c r="H17" s="8">
        <f t="shared" si="1"/>
        <v>1.7326947169993828E-19</v>
      </c>
      <c r="I17" s="9"/>
      <c r="L17" s="5">
        <v>1.5E-19</v>
      </c>
      <c r="M17" s="5"/>
      <c r="N17" s="1">
        <v>1</v>
      </c>
    </row>
    <row r="18" spans="2:32">
      <c r="B18" s="2">
        <v>16</v>
      </c>
      <c r="C18" s="2">
        <v>1</v>
      </c>
      <c r="D18" s="2">
        <v>3.8200000000000002E-4</v>
      </c>
      <c r="E18" s="4">
        <v>11.09</v>
      </c>
      <c r="F18" s="2">
        <f t="shared" si="0"/>
        <v>3.4445446348061322E-5</v>
      </c>
      <c r="G18" s="4">
        <v>125.1</v>
      </c>
      <c r="H18" s="8">
        <f t="shared" si="1"/>
        <v>3.1431131897925522E-19</v>
      </c>
      <c r="I18" s="9"/>
      <c r="L18" s="5">
        <v>1.5999999999999999E-19</v>
      </c>
      <c r="M18" s="5"/>
      <c r="N18" s="1">
        <v>7</v>
      </c>
    </row>
    <row r="19" spans="2:32">
      <c r="B19" s="2">
        <v>17</v>
      </c>
      <c r="C19" s="2">
        <v>1</v>
      </c>
      <c r="D19" s="2">
        <v>3.8200000000000002E-4</v>
      </c>
      <c r="E19" s="4">
        <v>11.04</v>
      </c>
      <c r="F19" s="2">
        <f t="shared" si="0"/>
        <v>3.4601449275362325E-5</v>
      </c>
      <c r="G19" s="4">
        <v>76.5</v>
      </c>
      <c r="H19" s="8">
        <f t="shared" si="1"/>
        <v>5.1748719137262963E-19</v>
      </c>
      <c r="I19" s="9"/>
      <c r="L19" s="5">
        <v>1.7000000000000001E-19</v>
      </c>
      <c r="M19" s="5"/>
      <c r="N19" s="1">
        <v>11</v>
      </c>
    </row>
    <row r="20" spans="2:32">
      <c r="B20" s="2">
        <v>18</v>
      </c>
      <c r="C20" s="2">
        <v>1</v>
      </c>
      <c r="D20" s="2">
        <v>3.8200000000000002E-4</v>
      </c>
      <c r="E20" s="4">
        <v>14.19</v>
      </c>
      <c r="F20" s="2">
        <f t="shared" si="0"/>
        <v>2.6920366455250178E-5</v>
      </c>
      <c r="G20" s="4">
        <v>158.4</v>
      </c>
      <c r="H20" s="8">
        <f t="shared" si="1"/>
        <v>1.7150859120311481E-19</v>
      </c>
      <c r="I20" s="9"/>
      <c r="L20" s="5">
        <v>1.8000000000000001E-19</v>
      </c>
      <c r="M20" s="5"/>
      <c r="N20" s="1">
        <v>4</v>
      </c>
    </row>
    <row r="21" spans="2:32">
      <c r="B21" s="2">
        <v>19</v>
      </c>
      <c r="C21" s="2">
        <v>1</v>
      </c>
      <c r="D21" s="2">
        <v>3.8200000000000002E-4</v>
      </c>
      <c r="E21" s="4">
        <v>16.72</v>
      </c>
      <c r="F21" s="2">
        <f t="shared" si="0"/>
        <v>2.2846889952153114E-5</v>
      </c>
      <c r="G21" s="4">
        <v>143.1</v>
      </c>
      <c r="H21" s="8">
        <f t="shared" si="1"/>
        <v>1.4842963060041101E-19</v>
      </c>
      <c r="I21" s="9"/>
      <c r="L21" s="5">
        <v>1.9E-19</v>
      </c>
      <c r="M21" s="5"/>
      <c r="N21" s="1">
        <v>0</v>
      </c>
      <c r="Z21" s="11"/>
      <c r="AA21" s="11"/>
      <c r="AB21" s="11"/>
      <c r="AC21" s="11"/>
      <c r="AD21" s="11"/>
      <c r="AE21" s="11"/>
      <c r="AF21" s="11"/>
    </row>
    <row r="22" spans="2:32">
      <c r="B22" s="2">
        <v>20</v>
      </c>
      <c r="C22" s="2">
        <v>1</v>
      </c>
      <c r="D22" s="2">
        <v>3.8200000000000002E-4</v>
      </c>
      <c r="E22" s="4">
        <v>7.52</v>
      </c>
      <c r="F22" s="2">
        <f t="shared" si="0"/>
        <v>5.0797872340425537E-5</v>
      </c>
      <c r="G22" s="4">
        <v>137.80000000000001</v>
      </c>
      <c r="H22" s="8">
        <f t="shared" si="1"/>
        <v>5.1102091067173877E-19</v>
      </c>
      <c r="I22" s="9"/>
      <c r="L22" s="5">
        <v>2E-19</v>
      </c>
      <c r="M22" s="5"/>
      <c r="N22" s="1">
        <v>0</v>
      </c>
      <c r="Z22" s="12"/>
      <c r="AA22" s="12"/>
      <c r="AB22" s="12"/>
      <c r="AC22" s="12"/>
      <c r="AD22" s="13"/>
      <c r="AE22" s="12"/>
      <c r="AF22" s="13"/>
    </row>
    <row r="23" spans="2:32">
      <c r="B23" s="2">
        <v>21</v>
      </c>
      <c r="C23" s="2">
        <v>1</v>
      </c>
      <c r="D23" s="2">
        <v>3.8200000000000002E-4</v>
      </c>
      <c r="E23" s="4">
        <v>14.71</v>
      </c>
      <c r="F23" s="2">
        <f t="shared" si="0"/>
        <v>2.5968728755948334E-5</v>
      </c>
      <c r="G23" s="4">
        <v>167.4</v>
      </c>
      <c r="H23" s="8">
        <f t="shared" si="1"/>
        <v>1.5375887306187692E-19</v>
      </c>
      <c r="I23" s="9"/>
      <c r="L23" s="5">
        <v>2.0999999999999999E-19</v>
      </c>
      <c r="M23" s="5"/>
      <c r="N23" s="1">
        <v>0</v>
      </c>
      <c r="Z23" s="12"/>
      <c r="AA23" s="12"/>
      <c r="AB23" s="12"/>
      <c r="AC23" s="12"/>
      <c r="AD23" s="13"/>
      <c r="AE23" s="12"/>
      <c r="AF23" s="13"/>
    </row>
    <row r="24" spans="2:32">
      <c r="B24" s="2">
        <v>22</v>
      </c>
      <c r="C24" s="2">
        <v>1</v>
      </c>
      <c r="D24" s="2">
        <v>3.8200000000000002E-4</v>
      </c>
      <c r="E24" s="4">
        <v>24.8</v>
      </c>
      <c r="F24" s="2">
        <f t="shared" si="0"/>
        <v>1.5403225806451613E-5</v>
      </c>
      <c r="G24" s="4">
        <v>73.900000000000006</v>
      </c>
      <c r="H24" s="8">
        <f t="shared" si="1"/>
        <v>1.5910824683035385E-19</v>
      </c>
      <c r="I24" s="9"/>
      <c r="L24" s="5">
        <v>2.1999999999999998E-19</v>
      </c>
      <c r="M24" s="5"/>
      <c r="N24" s="1">
        <v>0</v>
      </c>
      <c r="Z24" s="12"/>
      <c r="AA24" s="12"/>
      <c r="AB24" s="12"/>
      <c r="AC24" s="12"/>
      <c r="AD24" s="13"/>
      <c r="AE24" s="12"/>
      <c r="AF24" s="13"/>
    </row>
    <row r="25" spans="2:32">
      <c r="B25" s="2">
        <v>23</v>
      </c>
      <c r="C25" s="2">
        <v>1</v>
      </c>
      <c r="D25" s="2">
        <v>3.8200000000000002E-4</v>
      </c>
      <c r="E25" s="4">
        <v>19.739999999999998</v>
      </c>
      <c r="F25" s="2">
        <f t="shared" si="0"/>
        <v>1.9351570415400205E-5</v>
      </c>
      <c r="G25" s="4">
        <v>102.4</v>
      </c>
      <c r="H25" s="8">
        <f t="shared" si="1"/>
        <v>1.616940246117234E-19</v>
      </c>
      <c r="I25" s="9"/>
      <c r="L25" s="5">
        <v>2.2999999999999998E-19</v>
      </c>
      <c r="M25" s="5"/>
      <c r="N25" s="1">
        <v>0</v>
      </c>
      <c r="Z25" s="12"/>
      <c r="AA25" s="12"/>
      <c r="AB25" s="12"/>
      <c r="AC25" s="12"/>
      <c r="AD25" s="13"/>
      <c r="AE25" s="12"/>
      <c r="AF25" s="13"/>
    </row>
    <row r="26" spans="2:32">
      <c r="B26" s="2">
        <v>24</v>
      </c>
      <c r="C26" s="2">
        <v>1</v>
      </c>
      <c r="D26" s="2">
        <v>3.8200000000000002E-4</v>
      </c>
      <c r="E26" s="4">
        <v>11.06</v>
      </c>
      <c r="F26" s="2">
        <f t="shared" si="0"/>
        <v>3.4538878842676313E-5</v>
      </c>
      <c r="G26" s="4">
        <v>124.4</v>
      </c>
      <c r="H26" s="8">
        <f t="shared" si="1"/>
        <v>3.1736686308447008E-19</v>
      </c>
      <c r="I26" s="9"/>
      <c r="L26" s="5">
        <v>2.4000000000000002E-19</v>
      </c>
      <c r="M26" s="5"/>
      <c r="N26" s="1">
        <v>0</v>
      </c>
      <c r="Z26" s="12"/>
      <c r="AA26" s="12"/>
      <c r="AB26" s="12"/>
      <c r="AC26" s="12"/>
      <c r="AD26" s="13"/>
      <c r="AE26" s="12"/>
      <c r="AF26" s="13"/>
    </row>
    <row r="27" spans="2:32">
      <c r="B27" s="2">
        <v>25</v>
      </c>
      <c r="C27" s="2">
        <v>1</v>
      </c>
      <c r="D27" s="2">
        <v>3.8200000000000002E-4</v>
      </c>
      <c r="E27" s="4">
        <v>17.2</v>
      </c>
      <c r="F27" s="2">
        <f t="shared" si="0"/>
        <v>2.2209302325581396E-5</v>
      </c>
      <c r="G27" s="4">
        <v>125.6</v>
      </c>
      <c r="H27" s="8">
        <f t="shared" si="1"/>
        <v>1.6208108686427493E-19</v>
      </c>
      <c r="I27" s="9"/>
      <c r="L27" s="5">
        <v>2.5000000000000002E-19</v>
      </c>
      <c r="M27" s="5"/>
      <c r="N27" s="1">
        <v>0</v>
      </c>
      <c r="V27" s="11"/>
      <c r="W27" s="11"/>
      <c r="X27" s="11"/>
      <c r="Y27" s="11"/>
      <c r="AA27" s="11"/>
      <c r="AB27" s="11"/>
      <c r="AC27" s="11"/>
      <c r="AD27" s="13"/>
      <c r="AE27" s="11"/>
      <c r="AF27" s="13"/>
    </row>
    <row r="28" spans="2:32">
      <c r="B28" s="2">
        <v>26</v>
      </c>
      <c r="C28" s="2">
        <v>1</v>
      </c>
      <c r="D28" s="2">
        <v>3.8200000000000002E-4</v>
      </c>
      <c r="E28" s="4">
        <v>5.45</v>
      </c>
      <c r="F28" s="2">
        <f t="shared" si="0"/>
        <v>7.009174311926605E-5</v>
      </c>
      <c r="G28" s="4">
        <v>141.19999999999999</v>
      </c>
      <c r="H28" s="8">
        <f t="shared" si="1"/>
        <v>8.0832349047428564E-19</v>
      </c>
      <c r="I28" s="9"/>
      <c r="L28" s="5">
        <v>2.6000000000000001E-19</v>
      </c>
      <c r="M28" s="5"/>
      <c r="N28" s="1">
        <v>0</v>
      </c>
      <c r="V28" s="12"/>
      <c r="W28" s="12"/>
      <c r="X28" s="13"/>
      <c r="Y28" s="12"/>
      <c r="Z28" s="12"/>
      <c r="AA28" s="12"/>
      <c r="AB28" s="12"/>
      <c r="AC28" s="12"/>
      <c r="AD28" s="13"/>
      <c r="AE28" s="12"/>
      <c r="AF28" s="13"/>
    </row>
    <row r="29" spans="2:32">
      <c r="B29" s="2">
        <v>27</v>
      </c>
      <c r="C29" s="2">
        <v>1</v>
      </c>
      <c r="D29" s="2">
        <v>3.8200000000000002E-4</v>
      </c>
      <c r="E29" s="4">
        <v>24.13</v>
      </c>
      <c r="F29" s="2">
        <f t="shared" si="0"/>
        <v>1.5830915872358062E-5</v>
      </c>
      <c r="G29" s="4">
        <v>41.1</v>
      </c>
      <c r="H29" s="8">
        <f t="shared" si="1"/>
        <v>2.9808275074187584E-19</v>
      </c>
      <c r="I29" s="9"/>
      <c r="L29" s="5">
        <v>2.7000000000000001E-19</v>
      </c>
      <c r="M29" s="5"/>
      <c r="N29" s="1">
        <v>0</v>
      </c>
      <c r="V29" s="12"/>
      <c r="W29" s="12"/>
      <c r="X29" s="13"/>
      <c r="Y29" s="12"/>
      <c r="Z29" s="12"/>
      <c r="AA29" s="12"/>
      <c r="AB29" s="12"/>
      <c r="AC29" s="12"/>
      <c r="AD29" s="13"/>
      <c r="AE29" s="12"/>
      <c r="AF29" s="13"/>
    </row>
    <row r="30" spans="2:32">
      <c r="B30" s="2">
        <v>28</v>
      </c>
      <c r="C30" s="2">
        <v>1</v>
      </c>
      <c r="D30" s="2">
        <v>3.8200000000000002E-4</v>
      </c>
      <c r="E30" s="4">
        <v>16.18</v>
      </c>
      <c r="F30" s="2">
        <f t="shared" si="0"/>
        <v>2.3609394313967864E-5</v>
      </c>
      <c r="G30" s="4">
        <v>131.80000000000001</v>
      </c>
      <c r="H30" s="8">
        <f t="shared" si="1"/>
        <v>1.6929006192718707E-19</v>
      </c>
      <c r="I30" s="9"/>
      <c r="L30" s="5">
        <v>2.8E-19</v>
      </c>
      <c r="M30" s="5"/>
      <c r="N30" s="1">
        <v>0</v>
      </c>
      <c r="V30" s="12"/>
      <c r="W30" s="12"/>
      <c r="X30" s="13"/>
      <c r="Y30" s="12"/>
      <c r="Z30" s="12"/>
      <c r="AA30" s="12"/>
      <c r="AB30" s="12"/>
      <c r="AC30" s="12"/>
      <c r="AD30" s="13"/>
      <c r="AE30" s="12"/>
      <c r="AF30" s="13"/>
    </row>
    <row r="31" spans="2:32">
      <c r="B31" s="2">
        <v>29</v>
      </c>
      <c r="C31" s="2">
        <v>1</v>
      </c>
      <c r="D31" s="2">
        <v>3.8200000000000002E-4</v>
      </c>
      <c r="E31" s="4">
        <v>22.61</v>
      </c>
      <c r="F31" s="2">
        <f t="shared" si="0"/>
        <v>1.6895179124281292E-5</v>
      </c>
      <c r="G31" s="4">
        <v>86.8</v>
      </c>
      <c r="H31" s="8">
        <f t="shared" si="1"/>
        <v>1.5561235717258572E-19</v>
      </c>
      <c r="I31" s="9"/>
      <c r="L31" s="5">
        <v>2.9E-19</v>
      </c>
      <c r="M31" s="5"/>
      <c r="N31" s="1">
        <v>0</v>
      </c>
      <c r="V31" s="12"/>
      <c r="W31" s="12"/>
      <c r="X31" s="13"/>
      <c r="Y31" s="12"/>
      <c r="Z31" s="12"/>
      <c r="AA31" s="12"/>
      <c r="AB31" s="12"/>
      <c r="AC31" s="12"/>
      <c r="AD31" s="13"/>
      <c r="AE31" s="12"/>
      <c r="AF31" s="13"/>
    </row>
    <row r="32" spans="2:32">
      <c r="B32" s="2">
        <v>30</v>
      </c>
      <c r="C32" s="2">
        <v>1</v>
      </c>
      <c r="D32" s="2">
        <v>3.8200000000000002E-4</v>
      </c>
      <c r="E32" s="4">
        <v>17.649999999999999</v>
      </c>
      <c r="F32" s="2">
        <f t="shared" si="0"/>
        <v>2.1643059490084987E-5</v>
      </c>
      <c r="G32" s="4">
        <v>61.4</v>
      </c>
      <c r="H32" s="8">
        <f t="shared" si="1"/>
        <v>3.1895485287977782E-19</v>
      </c>
      <c r="I32" s="9"/>
      <c r="L32" s="5">
        <v>2.9999999999999999E-19</v>
      </c>
      <c r="M32" s="5"/>
      <c r="N32" s="1">
        <v>1</v>
      </c>
      <c r="V32" s="12"/>
      <c r="W32" s="12"/>
      <c r="X32" s="13"/>
      <c r="Y32" s="12"/>
      <c r="Z32" s="12"/>
      <c r="AA32" s="12"/>
      <c r="AB32" s="12"/>
      <c r="AC32" s="12"/>
      <c r="AD32" s="13"/>
      <c r="AE32" s="12"/>
      <c r="AF32" s="13"/>
    </row>
    <row r="33" spans="2:32">
      <c r="B33" s="2">
        <v>31</v>
      </c>
      <c r="C33" s="2">
        <v>1</v>
      </c>
      <c r="D33" s="2">
        <v>3.8200000000000002E-4</v>
      </c>
      <c r="E33" s="4">
        <v>14.73</v>
      </c>
      <c r="F33" s="2">
        <f t="shared" si="0"/>
        <v>2.5933469110658519E-5</v>
      </c>
      <c r="G33" s="4">
        <v>156.4</v>
      </c>
      <c r="H33" s="8">
        <f t="shared" si="1"/>
        <v>1.6423805038992107E-19</v>
      </c>
      <c r="I33" s="9"/>
      <c r="L33" s="5">
        <v>3.0999999999999999E-19</v>
      </c>
      <c r="M33" s="5"/>
      <c r="N33" s="1">
        <v>1</v>
      </c>
      <c r="V33" s="12"/>
      <c r="W33" s="12"/>
      <c r="X33" s="13"/>
      <c r="Y33" s="12"/>
      <c r="Z33" s="12"/>
      <c r="AA33" s="12"/>
      <c r="AB33" s="12"/>
      <c r="AC33" s="12"/>
      <c r="AD33" s="13"/>
      <c r="AE33" s="12"/>
      <c r="AF33" s="13"/>
    </row>
    <row r="34" spans="2:32">
      <c r="B34" s="2">
        <v>32</v>
      </c>
      <c r="C34" s="2">
        <v>1</v>
      </c>
      <c r="D34" s="2">
        <v>3.8200000000000002E-4</v>
      </c>
      <c r="E34" s="4">
        <v>21.79</v>
      </c>
      <c r="F34" s="2">
        <f t="shared" si="0"/>
        <v>1.753097751262047E-5</v>
      </c>
      <c r="G34" s="4">
        <v>89.2</v>
      </c>
      <c r="H34" s="8">
        <f t="shared" si="1"/>
        <v>1.6005304842643498E-19</v>
      </c>
      <c r="I34" s="9"/>
      <c r="L34" s="5">
        <v>3.1999999999999998E-19</v>
      </c>
      <c r="M34" s="5"/>
      <c r="N34" s="1">
        <v>8</v>
      </c>
      <c r="V34" s="12"/>
      <c r="W34" s="12"/>
      <c r="X34" s="13"/>
      <c r="Y34" s="12"/>
      <c r="Z34" s="12"/>
      <c r="AA34" s="12"/>
      <c r="AB34" s="12"/>
      <c r="AC34" s="12"/>
      <c r="AD34" s="13"/>
      <c r="AE34" s="12"/>
      <c r="AF34" s="13"/>
    </row>
    <row r="35" spans="2:32">
      <c r="B35" s="2">
        <v>33</v>
      </c>
      <c r="C35" s="2">
        <v>1</v>
      </c>
      <c r="D35" s="2">
        <v>3.8200000000000002E-4</v>
      </c>
      <c r="E35" s="4">
        <v>16.899999999999999</v>
      </c>
      <c r="F35" s="2">
        <f t="shared" si="0"/>
        <v>2.2603550295857992E-5</v>
      </c>
      <c r="G35" s="4">
        <v>138.80000000000001</v>
      </c>
      <c r="H35" s="8">
        <f t="shared" si="1"/>
        <v>1.5058965106882606E-19</v>
      </c>
      <c r="I35" s="9"/>
      <c r="L35" s="5">
        <v>3.2999999999999998E-19</v>
      </c>
      <c r="M35" s="5"/>
      <c r="N35" s="1">
        <v>2</v>
      </c>
      <c r="V35" s="12"/>
      <c r="W35" s="12"/>
      <c r="X35" s="13"/>
      <c r="Y35" s="12"/>
      <c r="Z35" s="12"/>
      <c r="AA35" s="12"/>
      <c r="AB35" s="12"/>
      <c r="AC35" s="12"/>
      <c r="AD35" s="13"/>
      <c r="AE35" s="12"/>
      <c r="AF35" s="13"/>
    </row>
    <row r="36" spans="2:32">
      <c r="B36" s="2">
        <v>34</v>
      </c>
      <c r="C36" s="2">
        <v>1</v>
      </c>
      <c r="D36" s="2">
        <v>3.8200000000000002E-4</v>
      </c>
      <c r="E36" s="4">
        <v>12.78</v>
      </c>
      <c r="F36" s="2">
        <f t="shared" si="0"/>
        <v>2.9890453834115809E-5</v>
      </c>
      <c r="G36" s="4">
        <v>64.8</v>
      </c>
      <c r="H36" s="8">
        <f t="shared" si="1"/>
        <v>4.905049149232246E-19</v>
      </c>
      <c r="I36" s="9"/>
      <c r="L36" s="5">
        <v>3.4000000000000002E-19</v>
      </c>
      <c r="M36" s="5"/>
      <c r="N36" s="1">
        <v>1</v>
      </c>
      <c r="V36" s="12"/>
      <c r="W36" s="12"/>
      <c r="X36" s="13"/>
      <c r="Y36" s="12"/>
      <c r="Z36" s="12"/>
      <c r="AA36" s="12"/>
      <c r="AB36" s="12"/>
      <c r="AC36" s="12"/>
      <c r="AD36" s="13"/>
      <c r="AE36" s="12"/>
      <c r="AF36" s="13"/>
    </row>
    <row r="37" spans="2:32">
      <c r="B37" s="2">
        <v>35</v>
      </c>
      <c r="C37" s="2">
        <v>1</v>
      </c>
      <c r="D37" s="2">
        <v>3.8200000000000002E-4</v>
      </c>
      <c r="E37" s="4">
        <v>10.06</v>
      </c>
      <c r="F37" s="2">
        <f t="shared" si="0"/>
        <v>3.7972166998011931E-5</v>
      </c>
      <c r="G37" s="4">
        <v>276.39999999999998</v>
      </c>
      <c r="H37" s="8">
        <f t="shared" si="1"/>
        <v>1.6465678837048874E-19</v>
      </c>
      <c r="I37" s="9"/>
      <c r="L37" s="5">
        <v>3.5000000000000002E-19</v>
      </c>
      <c r="M37" s="5"/>
      <c r="N37" s="1">
        <v>2</v>
      </c>
      <c r="V37" s="12"/>
      <c r="W37" s="12"/>
      <c r="X37" s="13"/>
      <c r="Y37" s="12"/>
      <c r="Z37" s="12"/>
      <c r="AA37" s="12"/>
      <c r="AB37" s="12"/>
      <c r="AC37" s="12"/>
      <c r="AD37" s="13"/>
      <c r="AE37" s="12"/>
      <c r="AF37" s="13"/>
    </row>
    <row r="38" spans="2:32">
      <c r="B38" s="2">
        <v>36</v>
      </c>
      <c r="C38" s="2">
        <v>1</v>
      </c>
      <c r="D38" s="2">
        <v>3.8200000000000002E-4</v>
      </c>
      <c r="E38" s="4">
        <v>10.27</v>
      </c>
      <c r="F38" s="2">
        <f t="shared" si="0"/>
        <v>3.7195715676728335E-5</v>
      </c>
      <c r="G38" s="4">
        <v>55.2</v>
      </c>
      <c r="H38" s="8">
        <f t="shared" si="1"/>
        <v>7.9931857766050533E-19</v>
      </c>
      <c r="I38" s="9"/>
      <c r="L38" s="5">
        <v>3.6000000000000001E-19</v>
      </c>
      <c r="M38" s="5"/>
      <c r="N38" s="1">
        <v>0</v>
      </c>
      <c r="V38" s="12"/>
      <c r="W38" s="12"/>
      <c r="X38" s="13"/>
      <c r="Y38" s="12"/>
      <c r="Z38" s="12"/>
      <c r="AA38" s="12"/>
      <c r="AB38" s="13"/>
      <c r="AC38" s="12"/>
      <c r="AD38" s="13"/>
      <c r="AE38" s="12"/>
      <c r="AF38" s="13"/>
    </row>
    <row r="39" spans="2:32">
      <c r="B39" s="2">
        <v>37</v>
      </c>
      <c r="C39" s="2">
        <v>1</v>
      </c>
      <c r="D39" s="2">
        <v>3.8200000000000002E-4</v>
      </c>
      <c r="E39" s="4">
        <v>6.63</v>
      </c>
      <c r="F39" s="2">
        <f t="shared" si="0"/>
        <v>5.7616892911010564E-5</v>
      </c>
      <c r="G39" s="4">
        <v>256.10000000000002</v>
      </c>
      <c r="H39" s="8">
        <f t="shared" si="1"/>
        <v>3.3215039936244537E-19</v>
      </c>
      <c r="I39" s="9"/>
      <c r="L39" s="5">
        <v>3.7000000000000001E-19</v>
      </c>
      <c r="M39" s="5"/>
      <c r="N39" s="1">
        <v>0</v>
      </c>
      <c r="V39" s="12"/>
      <c r="W39" s="12"/>
      <c r="X39" s="13"/>
      <c r="Y39" s="12"/>
      <c r="Z39" s="12"/>
      <c r="AA39" s="12"/>
      <c r="AB39" s="13"/>
      <c r="AC39" s="12"/>
      <c r="AD39" s="13"/>
      <c r="AE39" s="12"/>
      <c r="AF39" s="13"/>
    </row>
    <row r="40" spans="2:32">
      <c r="B40" s="2">
        <v>38</v>
      </c>
      <c r="C40" s="2">
        <v>1</v>
      </c>
      <c r="D40" s="2">
        <v>3.8200000000000002E-4</v>
      </c>
      <c r="E40" s="4">
        <v>9.93</v>
      </c>
      <c r="F40" s="2">
        <f t="shared" si="0"/>
        <v>3.8469284994964755E-5</v>
      </c>
      <c r="G40" s="4">
        <v>270.2</v>
      </c>
      <c r="H40" s="8">
        <f t="shared" si="1"/>
        <v>1.7175343542151431E-19</v>
      </c>
      <c r="I40" s="9"/>
      <c r="L40" s="5">
        <v>3.8E-19</v>
      </c>
      <c r="M40" s="5"/>
      <c r="N40" s="1">
        <v>0</v>
      </c>
      <c r="V40" s="12"/>
      <c r="W40" s="12"/>
      <c r="X40" s="13"/>
      <c r="Y40" s="12"/>
      <c r="Z40" s="12"/>
      <c r="AA40" s="12"/>
      <c r="AB40" s="13"/>
      <c r="AC40" s="12"/>
      <c r="AD40" s="13"/>
      <c r="AE40" s="12"/>
      <c r="AF40" s="13"/>
    </row>
    <row r="41" spans="2:32">
      <c r="B41" s="2">
        <v>39</v>
      </c>
      <c r="C41" s="2">
        <v>1</v>
      </c>
      <c r="D41" s="2">
        <v>3.8200000000000002E-4</v>
      </c>
      <c r="E41" s="4">
        <v>18.13</v>
      </c>
      <c r="F41" s="2">
        <f t="shared" si="0"/>
        <v>2.1070049641478214E-5</v>
      </c>
      <c r="G41" s="4">
        <v>58.7</v>
      </c>
      <c r="H41" s="8">
        <f t="shared" si="1"/>
        <v>3.2046443789041549E-19</v>
      </c>
      <c r="I41" s="9"/>
      <c r="L41" s="5">
        <v>3.9E-19</v>
      </c>
      <c r="M41" s="5"/>
      <c r="N41" s="1">
        <v>0</v>
      </c>
      <c r="V41" s="12"/>
      <c r="W41" s="12"/>
      <c r="X41" s="13"/>
      <c r="Y41" s="12"/>
      <c r="Z41" s="12"/>
      <c r="AA41" s="12"/>
      <c r="AB41" s="13"/>
      <c r="AC41" s="12"/>
      <c r="AD41" s="13"/>
      <c r="AE41" s="12"/>
      <c r="AF41" s="13"/>
    </row>
    <row r="42" spans="2:32">
      <c r="B42" s="2">
        <v>40</v>
      </c>
      <c r="C42" s="2">
        <v>1</v>
      </c>
      <c r="D42" s="2">
        <v>3.8200000000000002E-4</v>
      </c>
      <c r="E42" s="4">
        <v>23.57</v>
      </c>
      <c r="F42" s="2">
        <f t="shared" si="0"/>
        <v>1.6207042851081884E-5</v>
      </c>
      <c r="G42" s="4">
        <v>80.599999999999994</v>
      </c>
      <c r="H42" s="8">
        <f t="shared" si="1"/>
        <v>1.5744911883144483E-19</v>
      </c>
      <c r="I42" s="9"/>
      <c r="L42" s="5">
        <v>3.9999999999999999E-19</v>
      </c>
      <c r="M42" s="5"/>
      <c r="N42" s="1">
        <v>0</v>
      </c>
      <c r="V42" s="12"/>
      <c r="W42" s="12"/>
      <c r="X42" s="13"/>
      <c r="Y42" s="12"/>
      <c r="Z42" s="12"/>
      <c r="AA42" s="12"/>
      <c r="AB42" s="13"/>
      <c r="AC42" s="12"/>
      <c r="AD42" s="13"/>
      <c r="AE42" s="12"/>
      <c r="AF42" s="13"/>
    </row>
    <row r="43" spans="2:32">
      <c r="B43" s="2">
        <v>41</v>
      </c>
      <c r="C43" s="2">
        <v>1</v>
      </c>
      <c r="D43" s="2">
        <v>3.8200000000000002E-4</v>
      </c>
      <c r="E43" s="4">
        <v>14.91</v>
      </c>
      <c r="F43" s="2">
        <f t="shared" si="0"/>
        <v>2.562038900067069E-5</v>
      </c>
      <c r="G43" s="4">
        <v>81.3</v>
      </c>
      <c r="H43" s="8">
        <f t="shared" si="1"/>
        <v>3.1024703469583505E-19</v>
      </c>
      <c r="I43" s="9"/>
      <c r="L43" s="5">
        <v>4.0999999999999999E-19</v>
      </c>
      <c r="M43" s="5"/>
      <c r="N43" s="1">
        <v>0</v>
      </c>
      <c r="V43" s="12"/>
      <c r="W43" s="12"/>
      <c r="X43" s="13"/>
      <c r="Y43" s="12"/>
      <c r="Z43" s="12"/>
      <c r="AA43" s="12"/>
      <c r="AB43" s="13"/>
      <c r="AC43" s="12"/>
      <c r="AD43" s="13"/>
      <c r="AE43" s="12"/>
      <c r="AF43" s="13"/>
    </row>
    <row r="44" spans="2:32">
      <c r="B44" s="2">
        <v>42</v>
      </c>
      <c r="C44" s="2">
        <v>1</v>
      </c>
      <c r="D44" s="2">
        <v>3.8200000000000002E-4</v>
      </c>
      <c r="E44" s="4">
        <v>7.26</v>
      </c>
      <c r="F44" s="2">
        <f t="shared" si="0"/>
        <v>5.2617079889807166E-5</v>
      </c>
      <c r="G44" s="4">
        <v>230.7</v>
      </c>
      <c r="H44" s="8">
        <f t="shared" si="1"/>
        <v>3.2178227991935692E-19</v>
      </c>
      <c r="I44" s="9"/>
      <c r="L44" s="5">
        <v>4.1999999999999998E-19</v>
      </c>
      <c r="M44" s="5"/>
      <c r="N44" s="1">
        <v>0</v>
      </c>
      <c r="V44" s="12"/>
      <c r="W44" s="12"/>
      <c r="X44" s="13"/>
      <c r="Y44" s="12"/>
      <c r="Z44" s="12"/>
      <c r="AA44" s="12"/>
      <c r="AB44" s="13"/>
      <c r="AC44" s="12"/>
      <c r="AD44" s="13"/>
      <c r="AE44" s="12"/>
      <c r="AF44" s="13"/>
    </row>
    <row r="45" spans="2:32">
      <c r="B45" s="2">
        <v>43</v>
      </c>
      <c r="C45" s="2">
        <v>1</v>
      </c>
      <c r="D45" s="2">
        <v>3.8200000000000002E-4</v>
      </c>
      <c r="E45" s="4">
        <v>15.32</v>
      </c>
      <c r="F45" s="2">
        <f t="shared" si="0"/>
        <v>2.4934725848563968E-5</v>
      </c>
      <c r="G45" s="4">
        <v>75.8</v>
      </c>
      <c r="H45" s="8">
        <f t="shared" si="1"/>
        <v>3.1949001994516714E-19</v>
      </c>
      <c r="I45" s="9"/>
      <c r="L45" s="5">
        <v>4.3000000000000002E-19</v>
      </c>
      <c r="M45" s="5"/>
      <c r="N45" s="1">
        <v>0</v>
      </c>
      <c r="V45" s="12"/>
      <c r="W45" s="12"/>
      <c r="X45" s="13"/>
      <c r="Y45" s="12"/>
      <c r="Z45" s="12"/>
      <c r="AA45" s="12"/>
      <c r="AB45" s="13"/>
      <c r="AC45" s="12"/>
      <c r="AD45" s="13"/>
      <c r="AE45" s="12"/>
      <c r="AF45" s="13"/>
    </row>
    <row r="46" spans="2:32">
      <c r="B46" s="2">
        <v>44</v>
      </c>
      <c r="C46" s="2">
        <v>1</v>
      </c>
      <c r="D46" s="2">
        <v>3.8200000000000002E-4</v>
      </c>
      <c r="E46" s="4">
        <v>10.75</v>
      </c>
      <c r="F46" s="2">
        <f t="shared" si="0"/>
        <v>3.5534883720930237E-5</v>
      </c>
      <c r="G46" s="4">
        <v>49.5</v>
      </c>
      <c r="H46" s="8">
        <f t="shared" si="1"/>
        <v>8.3233231199566174E-19</v>
      </c>
      <c r="I46" s="9"/>
      <c r="L46" s="5">
        <v>4.3999999999999997E-19</v>
      </c>
      <c r="M46" s="5"/>
      <c r="N46" s="1">
        <v>0</v>
      </c>
      <c r="V46" s="12"/>
      <c r="W46" s="12"/>
      <c r="X46" s="13"/>
      <c r="Y46" s="12"/>
      <c r="Z46" s="12"/>
      <c r="AA46" s="12"/>
      <c r="AB46" s="13"/>
      <c r="AC46" s="12"/>
      <c r="AD46" s="13"/>
      <c r="AE46" s="12"/>
      <c r="AF46" s="13"/>
    </row>
    <row r="47" spans="2:32">
      <c r="B47" s="2">
        <v>45</v>
      </c>
      <c r="C47" s="2">
        <v>1</v>
      </c>
      <c r="D47" s="2">
        <v>3.8200000000000002E-4</v>
      </c>
      <c r="E47" s="4">
        <v>16.170000000000002</v>
      </c>
      <c r="F47" s="2">
        <f t="shared" si="0"/>
        <v>2.3623995052566481E-5</v>
      </c>
      <c r="G47" s="4">
        <v>137.9</v>
      </c>
      <c r="H47" s="8">
        <f t="shared" si="1"/>
        <v>1.6195164139881523E-19</v>
      </c>
      <c r="I47" s="9"/>
      <c r="L47" s="5">
        <v>4.5000000000000001E-19</v>
      </c>
      <c r="M47" s="5"/>
      <c r="N47" s="1">
        <v>2</v>
      </c>
      <c r="V47" s="12"/>
      <c r="W47" s="12"/>
      <c r="X47" s="13"/>
      <c r="Y47" s="12"/>
      <c r="Z47" s="12"/>
      <c r="AA47" s="12"/>
      <c r="AB47" s="13"/>
      <c r="AC47" s="12"/>
      <c r="AD47" s="13"/>
      <c r="AE47" s="12"/>
      <c r="AF47" s="13"/>
    </row>
    <row r="48" spans="2:32">
      <c r="B48" s="2">
        <v>46</v>
      </c>
      <c r="C48" s="2">
        <v>1</v>
      </c>
      <c r="D48" s="2">
        <v>3.8200000000000002E-4</v>
      </c>
      <c r="E48" s="4">
        <v>6.35</v>
      </c>
      <c r="F48" s="2">
        <f t="shared" si="0"/>
        <v>6.0157480314960636E-5</v>
      </c>
      <c r="G48" s="4">
        <v>262.39999999999998</v>
      </c>
      <c r="H48" s="8">
        <f t="shared" si="1"/>
        <v>3.4585195215408273E-19</v>
      </c>
      <c r="I48" s="9"/>
      <c r="L48" s="5">
        <v>4.5999999999999996E-19</v>
      </c>
      <c r="M48" s="5"/>
      <c r="N48" s="1">
        <v>0</v>
      </c>
      <c r="V48" s="12"/>
      <c r="W48" s="12"/>
      <c r="X48" s="13"/>
      <c r="Y48" s="12"/>
      <c r="Z48" s="12"/>
      <c r="AA48" s="12"/>
      <c r="AB48" s="13"/>
      <c r="AC48" s="12"/>
      <c r="AD48" s="13"/>
      <c r="AE48" s="12"/>
      <c r="AF48" s="13"/>
    </row>
    <row r="49" spans="2:32">
      <c r="B49" s="2">
        <v>47</v>
      </c>
      <c r="C49" s="2">
        <v>1</v>
      </c>
      <c r="D49" s="2">
        <v>3.8200000000000002E-4</v>
      </c>
      <c r="E49" s="4">
        <v>11.1</v>
      </c>
      <c r="F49" s="2">
        <f t="shared" si="0"/>
        <v>3.4414414414414419E-5</v>
      </c>
      <c r="G49" s="4">
        <v>63.3</v>
      </c>
      <c r="H49" s="8">
        <f t="shared" si="1"/>
        <v>6.2033526652246278E-19</v>
      </c>
      <c r="I49" s="9"/>
      <c r="L49" s="5">
        <v>4.7E-19</v>
      </c>
      <c r="M49" s="5"/>
      <c r="N49" s="1">
        <v>0</v>
      </c>
      <c r="V49" s="12"/>
      <c r="W49" s="12"/>
      <c r="X49" s="13"/>
      <c r="Y49" s="12"/>
      <c r="Z49" s="12"/>
      <c r="AA49" s="12"/>
      <c r="AB49" s="13"/>
      <c r="AC49" s="12"/>
      <c r="AD49" s="13"/>
      <c r="AE49" s="12"/>
      <c r="AF49" s="13"/>
    </row>
    <row r="50" spans="2:32">
      <c r="B50" s="2">
        <v>48</v>
      </c>
      <c r="C50" s="2">
        <v>1</v>
      </c>
      <c r="D50" s="2">
        <v>3.8200000000000002E-4</v>
      </c>
      <c r="E50" s="4">
        <v>17.78</v>
      </c>
      <c r="F50" s="2">
        <f t="shared" si="0"/>
        <v>2.1484814398200224E-5</v>
      </c>
      <c r="G50" s="4">
        <v>43.5</v>
      </c>
      <c r="H50" s="8">
        <f t="shared" si="1"/>
        <v>4.4527443179394587E-19</v>
      </c>
      <c r="I50" s="9"/>
      <c r="L50" s="5">
        <v>4.8000000000000005E-19</v>
      </c>
      <c r="M50" s="5"/>
      <c r="N50" s="1">
        <v>0</v>
      </c>
      <c r="V50" s="12"/>
      <c r="W50" s="12"/>
      <c r="X50" s="13"/>
      <c r="Y50" s="12"/>
      <c r="Z50" s="12"/>
      <c r="AA50" s="12"/>
      <c r="AB50" s="13"/>
      <c r="AC50" s="12"/>
      <c r="AD50" s="13"/>
      <c r="AE50" s="12"/>
      <c r="AF50" s="13"/>
    </row>
    <row r="51" spans="2:32">
      <c r="B51" s="2">
        <v>49</v>
      </c>
      <c r="C51" s="2">
        <v>1</v>
      </c>
      <c r="D51" s="2">
        <v>3.8200000000000002E-4</v>
      </c>
      <c r="E51" s="4">
        <v>11.82</v>
      </c>
      <c r="F51" s="2">
        <f t="shared" si="0"/>
        <v>3.2318104906937397E-5</v>
      </c>
      <c r="G51" s="4">
        <v>43.1</v>
      </c>
      <c r="H51" s="8">
        <f t="shared" si="1"/>
        <v>8.2910811342124125E-19</v>
      </c>
      <c r="I51" s="9"/>
      <c r="L51" s="5">
        <v>4.8999999999999999E-19</v>
      </c>
      <c r="M51" s="5"/>
      <c r="N51" s="1">
        <v>1</v>
      </c>
      <c r="V51" s="12"/>
      <c r="W51" s="12"/>
      <c r="X51" s="13"/>
      <c r="Y51" s="12"/>
      <c r="Z51" s="12"/>
      <c r="AA51" s="12"/>
      <c r="AB51" s="13"/>
      <c r="AC51" s="12"/>
      <c r="AD51" s="13"/>
      <c r="AE51" s="12"/>
      <c r="AF51" s="13"/>
    </row>
    <row r="52" spans="2:32">
      <c r="B52" s="2">
        <v>50</v>
      </c>
      <c r="C52" s="2">
        <v>1</v>
      </c>
      <c r="D52" s="2">
        <v>3.8200000000000002E-4</v>
      </c>
      <c r="E52" s="4">
        <v>18.440000000000001</v>
      </c>
      <c r="F52" s="2">
        <f t="shared" si="0"/>
        <v>2.0715835140997831E-5</v>
      </c>
      <c r="G52" s="4">
        <v>53</v>
      </c>
      <c r="H52" s="8">
        <f t="shared" si="1"/>
        <v>3.4601697523378286E-19</v>
      </c>
      <c r="I52" s="9"/>
      <c r="L52" s="5">
        <v>5.0000000000000004E-19</v>
      </c>
      <c r="M52" s="5"/>
      <c r="N52" s="1">
        <v>1</v>
      </c>
      <c r="V52" s="12"/>
      <c r="W52" s="12"/>
      <c r="X52" s="13"/>
      <c r="Y52" s="12"/>
      <c r="Z52" s="12"/>
      <c r="AA52" s="12"/>
      <c r="AB52" s="13"/>
      <c r="AC52" s="12"/>
      <c r="AD52" s="13"/>
      <c r="AE52" s="12"/>
      <c r="AF52" s="13"/>
    </row>
    <row r="53" spans="2:32">
      <c r="B53" s="2">
        <v>51</v>
      </c>
      <c r="C53" s="2">
        <v>1</v>
      </c>
      <c r="D53" s="2">
        <v>3.8200000000000002E-4</v>
      </c>
      <c r="E53" s="4"/>
      <c r="F53" s="2" t="e">
        <f t="shared" si="0"/>
        <v>#DIV/0!</v>
      </c>
      <c r="G53" s="4"/>
      <c r="H53" s="7" t="e">
        <f t="shared" si="1"/>
        <v>#DIV/0!</v>
      </c>
      <c r="I53" s="7"/>
      <c r="L53" s="6" t="s">
        <v>8</v>
      </c>
      <c r="M53" s="6"/>
      <c r="N53" s="1">
        <v>8</v>
      </c>
      <c r="V53" s="12"/>
      <c r="W53" s="12"/>
      <c r="X53" s="13"/>
      <c r="Y53" s="12"/>
      <c r="Z53" s="12"/>
      <c r="AA53" s="12"/>
      <c r="AB53" s="13"/>
      <c r="AC53" s="12"/>
      <c r="AD53" s="13"/>
      <c r="AE53" s="12"/>
      <c r="AF53" s="13"/>
    </row>
    <row r="54" spans="2:32">
      <c r="B54" s="2">
        <v>52</v>
      </c>
      <c r="C54" s="2">
        <v>1</v>
      </c>
      <c r="D54" s="2">
        <v>3.8200000000000002E-4</v>
      </c>
      <c r="E54" s="4"/>
      <c r="F54" s="2" t="e">
        <f t="shared" si="0"/>
        <v>#DIV/0!</v>
      </c>
      <c r="G54" s="4"/>
      <c r="H54" s="7" t="e">
        <f t="shared" si="1"/>
        <v>#DIV/0!</v>
      </c>
      <c r="I54" s="7"/>
      <c r="V54" s="12"/>
      <c r="W54" s="12"/>
      <c r="X54" s="13"/>
      <c r="Y54" s="12"/>
      <c r="Z54" s="12"/>
      <c r="AA54" s="12"/>
      <c r="AB54" s="13"/>
      <c r="AC54" s="12"/>
      <c r="AD54" s="13"/>
      <c r="AE54" s="12"/>
      <c r="AF54" s="13"/>
    </row>
    <row r="55" spans="2:32">
      <c r="B55" s="2">
        <v>53</v>
      </c>
      <c r="C55" s="2">
        <v>1</v>
      </c>
      <c r="D55" s="2">
        <v>3.8200000000000002E-4</v>
      </c>
      <c r="E55" s="4"/>
      <c r="F55" s="2" t="e">
        <f t="shared" si="0"/>
        <v>#DIV/0!</v>
      </c>
      <c r="G55" s="4"/>
      <c r="H55" s="7" t="e">
        <f t="shared" si="1"/>
        <v>#DIV/0!</v>
      </c>
      <c r="I55" s="7"/>
      <c r="V55" s="12"/>
      <c r="W55" s="12"/>
      <c r="X55" s="13"/>
      <c r="Y55" s="12"/>
      <c r="Z55" s="12"/>
      <c r="AA55" s="12"/>
      <c r="AB55" s="13"/>
      <c r="AC55" s="12"/>
      <c r="AD55" s="13"/>
      <c r="AE55" s="12"/>
      <c r="AF55" s="13"/>
    </row>
    <row r="56" spans="2:32">
      <c r="B56" s="2">
        <v>54</v>
      </c>
      <c r="C56" s="2">
        <v>1</v>
      </c>
      <c r="D56" s="2">
        <v>3.8200000000000002E-4</v>
      </c>
      <c r="E56" s="4"/>
      <c r="F56" s="2" t="e">
        <f t="shared" si="0"/>
        <v>#DIV/0!</v>
      </c>
      <c r="G56" s="4"/>
      <c r="H56" s="7" t="e">
        <f t="shared" si="1"/>
        <v>#DIV/0!</v>
      </c>
      <c r="I56" s="7"/>
      <c r="V56" s="12"/>
      <c r="W56" s="12"/>
      <c r="X56" s="13"/>
      <c r="Y56" s="12"/>
      <c r="Z56" s="12"/>
      <c r="AA56" s="12"/>
      <c r="AB56" s="13"/>
      <c r="AC56" s="12"/>
      <c r="AD56" s="13"/>
      <c r="AE56" s="12"/>
      <c r="AF56" s="13"/>
    </row>
    <row r="57" spans="2:32">
      <c r="B57" s="2">
        <v>55</v>
      </c>
      <c r="C57" s="2">
        <v>1</v>
      </c>
      <c r="D57" s="2">
        <v>3.8200000000000002E-4</v>
      </c>
      <c r="E57" s="4"/>
      <c r="F57" s="2" t="e">
        <f t="shared" si="0"/>
        <v>#DIV/0!</v>
      </c>
      <c r="G57" s="4"/>
      <c r="H57" s="7" t="e">
        <f t="shared" si="1"/>
        <v>#DIV/0!</v>
      </c>
      <c r="I57" s="7"/>
      <c r="V57" s="12"/>
      <c r="W57" s="12"/>
      <c r="X57" s="13"/>
      <c r="Y57" s="12"/>
      <c r="Z57" s="12"/>
      <c r="AA57" s="12"/>
      <c r="AB57" s="13"/>
      <c r="AC57" s="12"/>
      <c r="AD57" s="13"/>
      <c r="AE57" s="12"/>
      <c r="AF57" s="13"/>
    </row>
    <row r="58" spans="2:32">
      <c r="B58" s="2">
        <v>56</v>
      </c>
      <c r="C58" s="2">
        <v>1</v>
      </c>
      <c r="D58" s="2">
        <v>3.8200000000000002E-4</v>
      </c>
      <c r="E58" s="4"/>
      <c r="F58" s="2" t="e">
        <f t="shared" si="0"/>
        <v>#DIV/0!</v>
      </c>
      <c r="G58" s="4"/>
      <c r="H58" s="7" t="e">
        <f t="shared" si="1"/>
        <v>#DIV/0!</v>
      </c>
      <c r="I58" s="7"/>
      <c r="V58" s="12"/>
      <c r="W58" s="12"/>
      <c r="X58" s="13"/>
      <c r="Y58" s="12"/>
      <c r="Z58" s="12"/>
      <c r="AA58" s="12"/>
      <c r="AB58" s="13"/>
      <c r="AC58" s="11"/>
      <c r="AD58" s="13"/>
      <c r="AE58" s="11"/>
      <c r="AF58" s="13"/>
    </row>
    <row r="59" spans="2:32">
      <c r="B59" s="2">
        <v>57</v>
      </c>
      <c r="C59" s="2">
        <v>1</v>
      </c>
      <c r="D59" s="2">
        <v>3.8200000000000002E-4</v>
      </c>
      <c r="E59" s="4"/>
      <c r="F59" s="2" t="e">
        <f t="shared" si="0"/>
        <v>#DIV/0!</v>
      </c>
      <c r="G59" s="4"/>
      <c r="H59" s="7" t="e">
        <f t="shared" si="1"/>
        <v>#DIV/0!</v>
      </c>
      <c r="I59" s="7"/>
      <c r="V59" s="12"/>
      <c r="W59" s="12"/>
      <c r="X59" s="13"/>
      <c r="Y59" s="12"/>
      <c r="Z59" s="12"/>
      <c r="AA59" s="12"/>
      <c r="AB59" s="13"/>
      <c r="AC59" s="12"/>
      <c r="AD59" s="13"/>
      <c r="AE59" s="12"/>
      <c r="AF59" s="13"/>
    </row>
    <row r="60" spans="2:32">
      <c r="B60" s="2">
        <v>58</v>
      </c>
      <c r="C60" s="2">
        <v>1</v>
      </c>
      <c r="D60" s="2">
        <v>3.8200000000000002E-4</v>
      </c>
      <c r="E60" s="4"/>
      <c r="F60" s="2" t="e">
        <f t="shared" si="0"/>
        <v>#DIV/0!</v>
      </c>
      <c r="G60" s="4"/>
      <c r="H60" s="7" t="e">
        <f t="shared" si="1"/>
        <v>#DIV/0!</v>
      </c>
      <c r="I60" s="7"/>
      <c r="V60" s="12"/>
      <c r="W60" s="12"/>
      <c r="X60" s="13"/>
      <c r="Y60" s="12"/>
      <c r="Z60" s="12"/>
      <c r="AA60" s="12"/>
      <c r="AB60" s="13"/>
      <c r="AC60" s="12"/>
      <c r="AD60" s="13"/>
      <c r="AE60" s="12"/>
      <c r="AF60" s="13"/>
    </row>
    <row r="61" spans="2:32">
      <c r="B61" s="2">
        <v>59</v>
      </c>
      <c r="C61" s="2">
        <v>1</v>
      </c>
      <c r="D61" s="2">
        <v>3.8200000000000002E-4</v>
      </c>
      <c r="E61" s="4"/>
      <c r="F61" s="2" t="e">
        <f t="shared" si="0"/>
        <v>#DIV/0!</v>
      </c>
      <c r="G61" s="4"/>
      <c r="H61" s="7" t="e">
        <f t="shared" si="1"/>
        <v>#DIV/0!</v>
      </c>
      <c r="I61" s="7"/>
      <c r="V61" s="12"/>
      <c r="W61" s="12"/>
      <c r="X61" s="13"/>
      <c r="Y61" s="12"/>
      <c r="Z61" s="12"/>
      <c r="AA61" s="12"/>
      <c r="AB61" s="13"/>
      <c r="AC61" s="12"/>
      <c r="AD61" s="13"/>
      <c r="AE61" s="12"/>
      <c r="AF61" s="13"/>
    </row>
    <row r="62" spans="2:32">
      <c r="B62" s="2">
        <v>60</v>
      </c>
      <c r="C62" s="2">
        <v>1</v>
      </c>
      <c r="D62" s="2">
        <v>3.8200000000000002E-4</v>
      </c>
      <c r="E62" s="4"/>
      <c r="F62" s="2" t="e">
        <f t="shared" si="0"/>
        <v>#DIV/0!</v>
      </c>
      <c r="G62" s="4"/>
      <c r="H62" s="7" t="e">
        <f t="shared" si="1"/>
        <v>#DIV/0!</v>
      </c>
      <c r="I62" s="7"/>
      <c r="V62" s="12"/>
      <c r="W62" s="12"/>
      <c r="X62" s="13"/>
      <c r="Y62" s="12"/>
      <c r="Z62" s="12"/>
      <c r="AA62" s="12"/>
      <c r="AB62" s="13"/>
      <c r="AC62" s="11"/>
      <c r="AD62" s="13"/>
      <c r="AE62" s="11"/>
      <c r="AF62" s="13"/>
    </row>
    <row r="63" spans="2:32">
      <c r="B63" s="2">
        <v>61</v>
      </c>
      <c r="C63" s="2">
        <v>1</v>
      </c>
      <c r="D63" s="2">
        <v>3.8200000000000002E-4</v>
      </c>
      <c r="E63" s="4"/>
      <c r="F63" s="2" t="e">
        <f t="shared" si="0"/>
        <v>#DIV/0!</v>
      </c>
      <c r="G63" s="4"/>
      <c r="H63" s="7" t="e">
        <f t="shared" si="1"/>
        <v>#DIV/0!</v>
      </c>
      <c r="I63" s="7"/>
      <c r="V63" s="12"/>
      <c r="W63" s="12"/>
      <c r="X63" s="13"/>
      <c r="Y63" s="12"/>
      <c r="Z63" s="12"/>
      <c r="AA63" s="12"/>
      <c r="AB63" s="13"/>
      <c r="AC63" s="12"/>
      <c r="AD63" s="13"/>
      <c r="AE63" s="12"/>
      <c r="AF63" s="13"/>
    </row>
    <row r="64" spans="2:32">
      <c r="B64" s="2">
        <v>62</v>
      </c>
      <c r="C64" s="2">
        <v>1</v>
      </c>
      <c r="D64" s="2">
        <v>3.8200000000000002E-4</v>
      </c>
      <c r="E64" s="4"/>
      <c r="F64" s="2" t="e">
        <f t="shared" si="0"/>
        <v>#DIV/0!</v>
      </c>
      <c r="G64" s="4"/>
      <c r="H64" s="7" t="e">
        <f t="shared" si="1"/>
        <v>#DIV/0!</v>
      </c>
      <c r="I64" s="7"/>
      <c r="V64" s="12"/>
      <c r="W64" s="12"/>
      <c r="X64" s="13"/>
      <c r="Y64" s="12"/>
      <c r="Z64" s="12"/>
      <c r="AA64" s="12"/>
      <c r="AB64" s="13"/>
      <c r="AC64" s="12"/>
      <c r="AD64" s="13"/>
      <c r="AE64" s="12"/>
      <c r="AF64" s="13"/>
    </row>
    <row r="65" spans="2:32">
      <c r="B65" s="2">
        <v>63</v>
      </c>
      <c r="C65" s="2">
        <v>1</v>
      </c>
      <c r="D65" s="2">
        <v>3.8200000000000002E-4</v>
      </c>
      <c r="E65" s="4"/>
      <c r="F65" s="2" t="e">
        <f t="shared" si="0"/>
        <v>#DIV/0!</v>
      </c>
      <c r="G65" s="4"/>
      <c r="H65" s="7" t="e">
        <f t="shared" si="1"/>
        <v>#DIV/0!</v>
      </c>
      <c r="I65" s="7"/>
      <c r="V65" s="12"/>
      <c r="W65" s="12"/>
      <c r="X65" s="13"/>
      <c r="Y65" s="12"/>
      <c r="Z65" s="12"/>
      <c r="AA65" s="12"/>
      <c r="AB65" s="13"/>
      <c r="AC65" s="12"/>
      <c r="AD65" s="13"/>
      <c r="AE65" s="12"/>
      <c r="AF65" s="13"/>
    </row>
    <row r="66" spans="2:32">
      <c r="B66" s="2">
        <v>64</v>
      </c>
      <c r="C66" s="2">
        <v>1</v>
      </c>
      <c r="D66" s="2">
        <v>3.8200000000000002E-4</v>
      </c>
      <c r="E66" s="4"/>
      <c r="F66" s="2" t="e">
        <f t="shared" si="0"/>
        <v>#DIV/0!</v>
      </c>
      <c r="G66" s="4"/>
      <c r="H66" s="7" t="e">
        <f t="shared" si="1"/>
        <v>#DIV/0!</v>
      </c>
      <c r="I66" s="7"/>
      <c r="V66" s="12"/>
      <c r="W66" s="12"/>
      <c r="X66" s="13"/>
      <c r="Y66" s="12"/>
      <c r="Z66" s="12"/>
      <c r="AA66" s="12"/>
      <c r="AB66" s="13"/>
      <c r="AC66" s="11"/>
      <c r="AD66" s="13"/>
      <c r="AE66" s="11"/>
      <c r="AF66" s="13"/>
    </row>
    <row r="67" spans="2:32">
      <c r="B67" s="2">
        <v>65</v>
      </c>
      <c r="C67" s="2">
        <v>1</v>
      </c>
      <c r="D67" s="2">
        <v>3.8200000000000002E-4</v>
      </c>
      <c r="E67" s="4"/>
      <c r="F67" s="2" t="e">
        <f t="shared" si="0"/>
        <v>#DIV/0!</v>
      </c>
      <c r="G67" s="4"/>
      <c r="H67" s="7" t="e">
        <f t="shared" si="1"/>
        <v>#DIV/0!</v>
      </c>
      <c r="I67" s="7"/>
      <c r="V67" s="12"/>
      <c r="W67" s="12"/>
      <c r="X67" s="13"/>
      <c r="Y67" s="12"/>
      <c r="Z67" s="12"/>
      <c r="AA67" s="12"/>
      <c r="AB67" s="13"/>
      <c r="AC67" s="12"/>
      <c r="AD67" s="13"/>
      <c r="AE67" s="12"/>
      <c r="AF67" s="13"/>
    </row>
    <row r="68" spans="2:32">
      <c r="B68" s="2">
        <v>66</v>
      </c>
      <c r="C68" s="2">
        <v>1</v>
      </c>
      <c r="D68" s="2">
        <v>3.8200000000000002E-4</v>
      </c>
      <c r="E68" s="4"/>
      <c r="F68" s="2" t="e">
        <f t="shared" ref="F68:F102" si="2">D68/E68</f>
        <v>#DIV/0!</v>
      </c>
      <c r="G68" s="4"/>
      <c r="H68" s="7" t="e">
        <f t="shared" ref="H68:H102" si="3">1.945*10^-10*F68^1.5/G68</f>
        <v>#DIV/0!</v>
      </c>
      <c r="I68" s="7"/>
      <c r="V68" s="12"/>
      <c r="W68" s="12"/>
      <c r="X68" s="13"/>
      <c r="Y68" s="12"/>
      <c r="Z68" s="12"/>
      <c r="AA68" s="12"/>
      <c r="AB68" s="13"/>
      <c r="AC68" s="12"/>
      <c r="AD68" s="13"/>
      <c r="AE68" s="12"/>
      <c r="AF68" s="13"/>
    </row>
    <row r="69" spans="2:32">
      <c r="B69" s="2">
        <v>67</v>
      </c>
      <c r="C69" s="2">
        <v>1</v>
      </c>
      <c r="D69" s="2">
        <v>3.8200000000000002E-4</v>
      </c>
      <c r="E69" s="4"/>
      <c r="F69" s="2" t="e">
        <f t="shared" si="2"/>
        <v>#DIV/0!</v>
      </c>
      <c r="G69" s="4"/>
      <c r="H69" s="7" t="e">
        <f t="shared" si="3"/>
        <v>#DIV/0!</v>
      </c>
      <c r="I69" s="7"/>
      <c r="V69" s="12"/>
      <c r="W69" s="12"/>
      <c r="X69" s="13"/>
      <c r="Y69" s="12"/>
      <c r="Z69" s="12"/>
      <c r="AA69" s="12"/>
      <c r="AB69" s="13"/>
      <c r="AC69" s="12"/>
      <c r="AD69" s="13"/>
      <c r="AE69" s="12"/>
      <c r="AF69" s="13"/>
    </row>
    <row r="70" spans="2:32">
      <c r="B70" s="2">
        <v>68</v>
      </c>
      <c r="C70" s="2">
        <v>1</v>
      </c>
      <c r="D70" s="2">
        <v>3.8200000000000002E-4</v>
      </c>
      <c r="E70" s="4"/>
      <c r="F70" s="2" t="e">
        <f t="shared" si="2"/>
        <v>#DIV/0!</v>
      </c>
      <c r="G70" s="4"/>
      <c r="H70" s="7" t="e">
        <f t="shared" si="3"/>
        <v>#DIV/0!</v>
      </c>
      <c r="I70" s="7"/>
      <c r="V70" s="12"/>
      <c r="W70" s="12"/>
      <c r="X70" s="13"/>
      <c r="Y70" s="12"/>
      <c r="Z70" s="12"/>
      <c r="AA70" s="12"/>
      <c r="AB70" s="13"/>
      <c r="AC70" s="12"/>
      <c r="AD70" s="13"/>
      <c r="AE70" s="12"/>
      <c r="AF70" s="13"/>
    </row>
    <row r="71" spans="2:32">
      <c r="B71" s="2">
        <v>69</v>
      </c>
      <c r="C71" s="2">
        <v>1</v>
      </c>
      <c r="D71" s="2">
        <v>3.8200000000000002E-4</v>
      </c>
      <c r="E71" s="4"/>
      <c r="F71" s="2" t="e">
        <f t="shared" si="2"/>
        <v>#DIV/0!</v>
      </c>
      <c r="G71" s="4"/>
      <c r="H71" s="7" t="e">
        <f t="shared" si="3"/>
        <v>#DIV/0!</v>
      </c>
      <c r="I71" s="7"/>
      <c r="V71" s="12"/>
      <c r="W71" s="12"/>
      <c r="X71" s="13"/>
      <c r="Y71" s="12"/>
      <c r="Z71" s="12"/>
      <c r="AA71" s="12"/>
      <c r="AB71" s="13"/>
      <c r="AC71" s="12"/>
      <c r="AD71" s="13"/>
      <c r="AE71" s="12"/>
      <c r="AF71" s="13"/>
    </row>
    <row r="72" spans="2:32">
      <c r="B72" s="2">
        <v>70</v>
      </c>
      <c r="C72" s="2">
        <v>1</v>
      </c>
      <c r="D72" s="2">
        <v>3.8200000000000002E-4</v>
      </c>
      <c r="E72" s="4"/>
      <c r="F72" s="2" t="e">
        <f t="shared" si="2"/>
        <v>#DIV/0!</v>
      </c>
      <c r="G72" s="4"/>
      <c r="H72" s="7" t="e">
        <f t="shared" si="3"/>
        <v>#DIV/0!</v>
      </c>
      <c r="I72" s="7"/>
      <c r="V72" s="12"/>
      <c r="W72" s="12"/>
      <c r="X72" s="13"/>
      <c r="Y72" s="12"/>
      <c r="Z72" s="12"/>
      <c r="AA72" s="12"/>
      <c r="AB72" s="13"/>
      <c r="AC72" s="14"/>
      <c r="AD72" s="15"/>
      <c r="AE72" s="14"/>
      <c r="AF72" s="15"/>
    </row>
    <row r="73" spans="2:32">
      <c r="B73" s="2">
        <v>71</v>
      </c>
      <c r="C73" s="2">
        <v>1</v>
      </c>
      <c r="D73" s="2">
        <v>3.8200000000000002E-4</v>
      </c>
      <c r="E73" s="4"/>
      <c r="F73" s="2" t="e">
        <f t="shared" si="2"/>
        <v>#DIV/0!</v>
      </c>
      <c r="G73" s="4"/>
      <c r="H73" s="7" t="e">
        <f t="shared" si="3"/>
        <v>#DIV/0!</v>
      </c>
      <c r="I73" s="7"/>
      <c r="V73" s="12"/>
      <c r="W73" s="12"/>
      <c r="X73" s="13"/>
      <c r="Y73" s="12"/>
      <c r="Z73" s="12"/>
      <c r="AA73" s="12"/>
      <c r="AB73" s="13"/>
      <c r="AC73" s="14"/>
      <c r="AD73" s="15"/>
      <c r="AE73" s="14"/>
      <c r="AF73" s="15"/>
    </row>
    <row r="74" spans="2:32">
      <c r="B74" s="2">
        <v>72</v>
      </c>
      <c r="C74" s="2">
        <v>1</v>
      </c>
      <c r="D74" s="2">
        <v>3.8200000000000002E-4</v>
      </c>
      <c r="E74" s="4"/>
      <c r="F74" s="2" t="e">
        <f t="shared" si="2"/>
        <v>#DIV/0!</v>
      </c>
      <c r="G74" s="4"/>
      <c r="H74" s="7" t="e">
        <f t="shared" si="3"/>
        <v>#DIV/0!</v>
      </c>
      <c r="I74" s="7"/>
      <c r="V74" s="12"/>
      <c r="W74" s="12"/>
      <c r="X74" s="13"/>
      <c r="Y74" s="12"/>
      <c r="Z74" s="12"/>
      <c r="AA74" s="12"/>
      <c r="AB74" s="13"/>
      <c r="AC74" s="14"/>
      <c r="AD74" s="15"/>
      <c r="AE74" s="14"/>
      <c r="AF74" s="15"/>
    </row>
    <row r="75" spans="2:32">
      <c r="B75" s="2">
        <v>73</v>
      </c>
      <c r="C75" s="2">
        <v>1</v>
      </c>
      <c r="D75" s="2">
        <v>3.8200000000000002E-4</v>
      </c>
      <c r="E75" s="4"/>
      <c r="F75" s="2" t="e">
        <f t="shared" si="2"/>
        <v>#DIV/0!</v>
      </c>
      <c r="G75" s="4"/>
      <c r="H75" s="7" t="e">
        <f t="shared" si="3"/>
        <v>#DIV/0!</v>
      </c>
      <c r="I75" s="7"/>
      <c r="V75" s="12"/>
      <c r="W75" s="12"/>
      <c r="X75" s="13"/>
      <c r="Y75" s="12"/>
      <c r="Z75" s="12"/>
      <c r="AA75" s="12"/>
      <c r="AB75" s="13"/>
      <c r="AC75" s="14"/>
      <c r="AD75" s="15"/>
      <c r="AE75" s="14"/>
      <c r="AF75" s="15"/>
    </row>
    <row r="76" spans="2:32">
      <c r="B76" s="2">
        <v>74</v>
      </c>
      <c r="C76" s="2">
        <v>1</v>
      </c>
      <c r="D76" s="2">
        <v>3.8200000000000002E-4</v>
      </c>
      <c r="E76" s="4"/>
      <c r="F76" s="2" t="e">
        <f t="shared" si="2"/>
        <v>#DIV/0!</v>
      </c>
      <c r="G76" s="4"/>
      <c r="H76" s="7" t="e">
        <f t="shared" si="3"/>
        <v>#DIV/0!</v>
      </c>
      <c r="I76" s="7"/>
      <c r="V76" s="12"/>
      <c r="W76" s="12"/>
      <c r="X76" s="13"/>
      <c r="Y76" s="12"/>
      <c r="Z76" s="12"/>
      <c r="AA76" s="12"/>
      <c r="AB76" s="13"/>
      <c r="AC76" s="14"/>
      <c r="AD76" s="15"/>
      <c r="AE76" s="14"/>
      <c r="AF76" s="15"/>
    </row>
    <row r="77" spans="2:32">
      <c r="B77" s="2">
        <v>75</v>
      </c>
      <c r="C77" s="2">
        <v>1</v>
      </c>
      <c r="D77" s="2">
        <v>3.8200000000000002E-4</v>
      </c>
      <c r="E77" s="4"/>
      <c r="F77" s="2" t="e">
        <f t="shared" si="2"/>
        <v>#DIV/0!</v>
      </c>
      <c r="G77" s="4"/>
      <c r="H77" s="7" t="e">
        <f t="shared" si="3"/>
        <v>#DIV/0!</v>
      </c>
      <c r="I77" s="7"/>
      <c r="V77" s="12"/>
      <c r="W77" s="12"/>
      <c r="X77" s="13"/>
      <c r="Y77" s="12"/>
      <c r="Z77" s="12"/>
      <c r="AA77" s="12"/>
      <c r="AB77" s="13"/>
      <c r="AC77" s="14"/>
      <c r="AD77" s="15"/>
      <c r="AE77" s="14"/>
      <c r="AF77" s="14"/>
    </row>
    <row r="78" spans="2:32">
      <c r="B78" s="2">
        <v>76</v>
      </c>
      <c r="C78" s="2">
        <v>1</v>
      </c>
      <c r="D78" s="2">
        <v>3.8200000000000002E-4</v>
      </c>
      <c r="E78" s="4"/>
      <c r="F78" s="2" t="e">
        <f t="shared" si="2"/>
        <v>#DIV/0!</v>
      </c>
      <c r="G78" s="4"/>
      <c r="H78" s="7" t="e">
        <f t="shared" si="3"/>
        <v>#DIV/0!</v>
      </c>
      <c r="I78" s="7"/>
      <c r="AB78" s="10"/>
      <c r="AD78" s="10"/>
    </row>
    <row r="79" spans="2:32">
      <c r="B79" s="2">
        <v>77</v>
      </c>
      <c r="C79" s="2">
        <v>1</v>
      </c>
      <c r="D79" s="2">
        <v>3.8200000000000002E-4</v>
      </c>
      <c r="E79" s="4"/>
      <c r="F79" s="2" t="e">
        <f t="shared" si="2"/>
        <v>#DIV/0!</v>
      </c>
      <c r="G79" s="4"/>
      <c r="H79" s="7" t="e">
        <f t="shared" si="3"/>
        <v>#DIV/0!</v>
      </c>
      <c r="I79" s="7"/>
      <c r="AB79" s="10"/>
      <c r="AD79" s="10"/>
    </row>
    <row r="80" spans="2:32">
      <c r="B80" s="2">
        <v>78</v>
      </c>
      <c r="C80" s="2">
        <v>1</v>
      </c>
      <c r="D80" s="2">
        <v>3.8200000000000002E-4</v>
      </c>
      <c r="E80" s="4"/>
      <c r="F80" s="2" t="e">
        <f t="shared" si="2"/>
        <v>#DIV/0!</v>
      </c>
      <c r="G80" s="4"/>
      <c r="H80" s="7" t="e">
        <f t="shared" si="3"/>
        <v>#DIV/0!</v>
      </c>
      <c r="I80" s="7"/>
      <c r="AB80" s="10"/>
      <c r="AD80" s="10"/>
    </row>
    <row r="81" spans="2:30">
      <c r="B81" s="2">
        <v>79</v>
      </c>
      <c r="C81" s="2">
        <v>1</v>
      </c>
      <c r="D81" s="2">
        <v>3.8200000000000002E-4</v>
      </c>
      <c r="E81" s="4"/>
      <c r="F81" s="2" t="e">
        <f t="shared" si="2"/>
        <v>#DIV/0!</v>
      </c>
      <c r="G81" s="4"/>
      <c r="H81" s="7" t="e">
        <f t="shared" si="3"/>
        <v>#DIV/0!</v>
      </c>
      <c r="I81" s="7"/>
      <c r="AB81" s="10"/>
      <c r="AD81" s="10"/>
    </row>
    <row r="82" spans="2:30">
      <c r="B82" s="2">
        <v>80</v>
      </c>
      <c r="C82" s="2">
        <v>1</v>
      </c>
      <c r="D82" s="2">
        <v>3.8200000000000002E-4</v>
      </c>
      <c r="E82" s="4"/>
      <c r="F82" s="2" t="e">
        <f t="shared" si="2"/>
        <v>#DIV/0!</v>
      </c>
      <c r="G82" s="4"/>
      <c r="H82" s="7" t="e">
        <f t="shared" si="3"/>
        <v>#DIV/0!</v>
      </c>
      <c r="I82" s="7"/>
      <c r="AB82" s="10"/>
      <c r="AD82" s="10"/>
    </row>
    <row r="83" spans="2:30">
      <c r="B83" s="2">
        <v>81</v>
      </c>
      <c r="C83" s="2">
        <v>1</v>
      </c>
      <c r="D83" s="2">
        <v>3.8200000000000002E-4</v>
      </c>
      <c r="E83" s="4"/>
      <c r="F83" s="2" t="e">
        <f t="shared" si="2"/>
        <v>#DIV/0!</v>
      </c>
      <c r="G83" s="4"/>
      <c r="H83" s="7" t="e">
        <f t="shared" si="3"/>
        <v>#DIV/0!</v>
      </c>
      <c r="I83" s="7"/>
      <c r="AB83" s="10"/>
      <c r="AD83" s="10"/>
    </row>
    <row r="84" spans="2:30">
      <c r="B84" s="2">
        <v>82</v>
      </c>
      <c r="C84" s="2">
        <v>1</v>
      </c>
      <c r="D84" s="2">
        <v>3.8200000000000002E-4</v>
      </c>
      <c r="E84" s="4"/>
      <c r="F84" s="2" t="e">
        <f t="shared" si="2"/>
        <v>#DIV/0!</v>
      </c>
      <c r="G84" s="4"/>
      <c r="H84" s="7" t="e">
        <f t="shared" si="3"/>
        <v>#DIV/0!</v>
      </c>
      <c r="I84" s="7"/>
      <c r="AB84" s="10"/>
      <c r="AD84" s="10"/>
    </row>
    <row r="85" spans="2:30">
      <c r="B85" s="2">
        <v>83</v>
      </c>
      <c r="C85" s="2">
        <v>1</v>
      </c>
      <c r="D85" s="2">
        <v>3.8200000000000002E-4</v>
      </c>
      <c r="E85" s="4"/>
      <c r="F85" s="2" t="e">
        <f t="shared" si="2"/>
        <v>#DIV/0!</v>
      </c>
      <c r="G85" s="4"/>
      <c r="H85" s="7" t="e">
        <f t="shared" si="3"/>
        <v>#DIV/0!</v>
      </c>
      <c r="I85" s="7"/>
      <c r="AB85" s="10"/>
      <c r="AD85" s="10"/>
    </row>
    <row r="86" spans="2:30">
      <c r="B86" s="2">
        <v>84</v>
      </c>
      <c r="C86" s="2">
        <v>1</v>
      </c>
      <c r="D86" s="2">
        <v>3.8200000000000002E-4</v>
      </c>
      <c r="E86" s="4"/>
      <c r="F86" s="2" t="e">
        <f t="shared" si="2"/>
        <v>#DIV/0!</v>
      </c>
      <c r="G86" s="4"/>
      <c r="H86" s="7" t="e">
        <f t="shared" si="3"/>
        <v>#DIV/0!</v>
      </c>
      <c r="I86" s="7"/>
      <c r="AB86" s="10"/>
      <c r="AD86" s="10"/>
    </row>
    <row r="87" spans="2:30">
      <c r="B87" s="2">
        <v>85</v>
      </c>
      <c r="C87" s="2">
        <v>1</v>
      </c>
      <c r="D87" s="2">
        <v>3.8200000000000002E-4</v>
      </c>
      <c r="E87" s="4"/>
      <c r="F87" s="2" t="e">
        <f t="shared" si="2"/>
        <v>#DIV/0!</v>
      </c>
      <c r="G87" s="4"/>
      <c r="H87" s="7" t="e">
        <f t="shared" si="3"/>
        <v>#DIV/0!</v>
      </c>
      <c r="I87" s="7"/>
      <c r="AB87" s="10"/>
      <c r="AD87" s="10"/>
    </row>
    <row r="88" spans="2:30">
      <c r="B88" s="2">
        <v>86</v>
      </c>
      <c r="C88" s="2">
        <v>1</v>
      </c>
      <c r="D88" s="2">
        <v>3.8200000000000002E-4</v>
      </c>
      <c r="E88" s="4"/>
      <c r="F88" s="2" t="e">
        <f t="shared" si="2"/>
        <v>#DIV/0!</v>
      </c>
      <c r="G88" s="4"/>
      <c r="H88" s="7" t="e">
        <f t="shared" si="3"/>
        <v>#DIV/0!</v>
      </c>
      <c r="I88" s="7"/>
    </row>
    <row r="89" spans="2:30">
      <c r="B89" s="2">
        <v>87</v>
      </c>
      <c r="C89" s="2">
        <v>1</v>
      </c>
      <c r="D89" s="2">
        <v>3.8200000000000002E-4</v>
      </c>
      <c r="E89" s="4"/>
      <c r="F89" s="2" t="e">
        <f t="shared" si="2"/>
        <v>#DIV/0!</v>
      </c>
      <c r="G89" s="4"/>
      <c r="H89" s="7" t="e">
        <f t="shared" si="3"/>
        <v>#DIV/0!</v>
      </c>
      <c r="I89" s="7"/>
    </row>
    <row r="90" spans="2:30">
      <c r="B90" s="2">
        <v>88</v>
      </c>
      <c r="C90" s="2">
        <v>1</v>
      </c>
      <c r="D90" s="2">
        <v>3.8200000000000002E-4</v>
      </c>
      <c r="E90" s="4"/>
      <c r="F90" s="2" t="e">
        <f t="shared" si="2"/>
        <v>#DIV/0!</v>
      </c>
      <c r="G90" s="4"/>
      <c r="H90" s="7" t="e">
        <f t="shared" si="3"/>
        <v>#DIV/0!</v>
      </c>
      <c r="I90" s="7"/>
    </row>
    <row r="91" spans="2:30">
      <c r="B91" s="2">
        <v>89</v>
      </c>
      <c r="C91" s="2">
        <v>1</v>
      </c>
      <c r="D91" s="2">
        <v>3.8200000000000002E-4</v>
      </c>
      <c r="E91" s="4"/>
      <c r="F91" s="2" t="e">
        <f t="shared" si="2"/>
        <v>#DIV/0!</v>
      </c>
      <c r="G91" s="4"/>
      <c r="H91" s="7" t="e">
        <f t="shared" si="3"/>
        <v>#DIV/0!</v>
      </c>
      <c r="I91" s="7"/>
    </row>
    <row r="92" spans="2:30">
      <c r="B92" s="2">
        <v>90</v>
      </c>
      <c r="C92" s="2">
        <v>1</v>
      </c>
      <c r="D92" s="2">
        <v>3.8200000000000002E-4</v>
      </c>
      <c r="E92" s="4"/>
      <c r="F92" s="2" t="e">
        <f t="shared" si="2"/>
        <v>#DIV/0!</v>
      </c>
      <c r="G92" s="4"/>
      <c r="H92" s="7" t="e">
        <f t="shared" si="3"/>
        <v>#DIV/0!</v>
      </c>
      <c r="I92" s="7"/>
    </row>
    <row r="93" spans="2:30">
      <c r="B93" s="2">
        <v>91</v>
      </c>
      <c r="C93" s="2">
        <v>1</v>
      </c>
      <c r="D93" s="2">
        <v>3.8200000000000002E-4</v>
      </c>
      <c r="E93" s="4"/>
      <c r="F93" s="2" t="e">
        <f t="shared" si="2"/>
        <v>#DIV/0!</v>
      </c>
      <c r="G93" s="4"/>
      <c r="H93" s="7" t="e">
        <f t="shared" si="3"/>
        <v>#DIV/0!</v>
      </c>
      <c r="I93" s="7"/>
    </row>
    <row r="94" spans="2:30">
      <c r="B94" s="2">
        <v>92</v>
      </c>
      <c r="C94" s="2">
        <v>1</v>
      </c>
      <c r="D94" s="2">
        <v>3.8200000000000002E-4</v>
      </c>
      <c r="E94" s="4"/>
      <c r="F94" s="2" t="e">
        <f t="shared" si="2"/>
        <v>#DIV/0!</v>
      </c>
      <c r="G94" s="4"/>
      <c r="H94" s="7" t="e">
        <f t="shared" si="3"/>
        <v>#DIV/0!</v>
      </c>
      <c r="I94" s="7"/>
    </row>
    <row r="95" spans="2:30">
      <c r="B95" s="2">
        <v>93</v>
      </c>
      <c r="C95" s="2">
        <v>1</v>
      </c>
      <c r="D95" s="2">
        <v>3.8200000000000002E-4</v>
      </c>
      <c r="E95" s="4"/>
      <c r="F95" s="2" t="e">
        <f t="shared" si="2"/>
        <v>#DIV/0!</v>
      </c>
      <c r="G95" s="4"/>
      <c r="H95" s="7" t="e">
        <f t="shared" si="3"/>
        <v>#DIV/0!</v>
      </c>
      <c r="I95" s="7"/>
    </row>
    <row r="96" spans="2:30">
      <c r="B96" s="2">
        <v>94</v>
      </c>
      <c r="C96" s="2">
        <v>1</v>
      </c>
      <c r="D96" s="2">
        <v>3.8200000000000002E-4</v>
      </c>
      <c r="E96" s="4"/>
      <c r="F96" s="2" t="e">
        <f t="shared" si="2"/>
        <v>#DIV/0!</v>
      </c>
      <c r="G96" s="4"/>
      <c r="H96" s="7" t="e">
        <f t="shared" si="3"/>
        <v>#DIV/0!</v>
      </c>
      <c r="I96" s="7"/>
    </row>
    <row r="97" spans="2:9">
      <c r="B97" s="2">
        <v>95</v>
      </c>
      <c r="C97" s="2">
        <v>1</v>
      </c>
      <c r="D97" s="2">
        <v>3.8200000000000002E-4</v>
      </c>
      <c r="E97" s="4"/>
      <c r="F97" s="2" t="e">
        <f t="shared" si="2"/>
        <v>#DIV/0!</v>
      </c>
      <c r="G97" s="4"/>
      <c r="H97" s="7" t="e">
        <f t="shared" si="3"/>
        <v>#DIV/0!</v>
      </c>
      <c r="I97" s="7"/>
    </row>
    <row r="98" spans="2:9">
      <c r="B98" s="2">
        <v>96</v>
      </c>
      <c r="C98" s="2">
        <v>1</v>
      </c>
      <c r="D98" s="2">
        <v>3.8200000000000002E-4</v>
      </c>
      <c r="E98" s="4"/>
      <c r="F98" s="2" t="e">
        <f t="shared" si="2"/>
        <v>#DIV/0!</v>
      </c>
      <c r="G98" s="4"/>
      <c r="H98" s="7" t="e">
        <f t="shared" si="3"/>
        <v>#DIV/0!</v>
      </c>
      <c r="I98" s="7"/>
    </row>
    <row r="99" spans="2:9">
      <c r="B99" s="2">
        <v>97</v>
      </c>
      <c r="C99" s="2">
        <v>1</v>
      </c>
      <c r="D99" s="2">
        <v>3.8200000000000002E-4</v>
      </c>
      <c r="E99" s="4"/>
      <c r="F99" s="2" t="e">
        <f t="shared" si="2"/>
        <v>#DIV/0!</v>
      </c>
      <c r="G99" s="4"/>
      <c r="H99" s="7" t="e">
        <f t="shared" si="3"/>
        <v>#DIV/0!</v>
      </c>
      <c r="I99" s="7"/>
    </row>
    <row r="100" spans="2:9">
      <c r="B100" s="2">
        <v>98</v>
      </c>
      <c r="C100" s="2">
        <v>1</v>
      </c>
      <c r="D100" s="2">
        <v>3.8200000000000002E-4</v>
      </c>
      <c r="E100" s="4"/>
      <c r="F100" s="2" t="e">
        <f t="shared" si="2"/>
        <v>#DIV/0!</v>
      </c>
      <c r="G100" s="4"/>
      <c r="H100" s="7" t="e">
        <f t="shared" si="3"/>
        <v>#DIV/0!</v>
      </c>
      <c r="I100" s="7"/>
    </row>
    <row r="101" spans="2:9">
      <c r="B101" s="2">
        <v>99</v>
      </c>
      <c r="C101" s="2">
        <v>1</v>
      </c>
      <c r="D101" s="2">
        <v>3.8200000000000002E-4</v>
      </c>
      <c r="E101" s="4"/>
      <c r="F101" s="2" t="e">
        <f t="shared" si="2"/>
        <v>#DIV/0!</v>
      </c>
      <c r="G101" s="4"/>
      <c r="H101" s="7" t="e">
        <f t="shared" si="3"/>
        <v>#DIV/0!</v>
      </c>
      <c r="I101" s="7"/>
    </row>
    <row r="102" spans="2:9">
      <c r="B102" s="2">
        <v>100</v>
      </c>
      <c r="C102" s="2">
        <v>1</v>
      </c>
      <c r="D102" s="2">
        <v>3.8200000000000002E-4</v>
      </c>
      <c r="E102" s="4"/>
      <c r="F102" s="2" t="e">
        <f t="shared" si="2"/>
        <v>#DIV/0!</v>
      </c>
      <c r="G102" s="4"/>
      <c r="H102" s="7" t="e">
        <f t="shared" si="3"/>
        <v>#DIV/0!</v>
      </c>
      <c r="I102" s="7"/>
    </row>
  </sheetData>
  <mergeCells count="153">
    <mergeCell ref="H8:I8"/>
    <mergeCell ref="H9:I9"/>
    <mergeCell ref="H10:I10"/>
    <mergeCell ref="H11:I11"/>
    <mergeCell ref="H12:I12"/>
    <mergeCell ref="H13:I13"/>
    <mergeCell ref="H2:I2"/>
    <mergeCell ref="H3:I3"/>
    <mergeCell ref="H4:I4"/>
    <mergeCell ref="H5:I5"/>
    <mergeCell ref="H6:I6"/>
    <mergeCell ref="H7:I7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98:I98"/>
    <mergeCell ref="H99:I99"/>
    <mergeCell ref="H100:I100"/>
    <mergeCell ref="H101:I101"/>
    <mergeCell ref="H102:I102"/>
    <mergeCell ref="L2:M2"/>
    <mergeCell ref="L3:M3"/>
    <mergeCell ref="L4:M4"/>
    <mergeCell ref="L5:M5"/>
    <mergeCell ref="L6:M6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L13:M13"/>
    <mergeCell ref="L14:M14"/>
    <mergeCell ref="L15:M15"/>
    <mergeCell ref="L16:M16"/>
    <mergeCell ref="L17:M17"/>
    <mergeCell ref="L18:M18"/>
    <mergeCell ref="L7:M7"/>
    <mergeCell ref="L8:M8"/>
    <mergeCell ref="L9:M9"/>
    <mergeCell ref="L10:M10"/>
    <mergeCell ref="L11:M11"/>
    <mergeCell ref="L12:M12"/>
    <mergeCell ref="L25:M25"/>
    <mergeCell ref="L26:M26"/>
    <mergeCell ref="L27:M27"/>
    <mergeCell ref="L28:M28"/>
    <mergeCell ref="L29:M29"/>
    <mergeCell ref="L30:M30"/>
    <mergeCell ref="L19:M19"/>
    <mergeCell ref="L20:M20"/>
    <mergeCell ref="L21:M21"/>
    <mergeCell ref="L22:M22"/>
    <mergeCell ref="L23:M23"/>
    <mergeCell ref="L24:M24"/>
    <mergeCell ref="L37:M37"/>
    <mergeCell ref="L38:M38"/>
    <mergeCell ref="L39:M39"/>
    <mergeCell ref="L40:M40"/>
    <mergeCell ref="L41:M41"/>
    <mergeCell ref="L42:M42"/>
    <mergeCell ref="L31:M31"/>
    <mergeCell ref="L32:M32"/>
    <mergeCell ref="L33:M33"/>
    <mergeCell ref="L34:M34"/>
    <mergeCell ref="L35:M35"/>
    <mergeCell ref="L36:M36"/>
    <mergeCell ref="L49:M49"/>
    <mergeCell ref="L50:M50"/>
    <mergeCell ref="L51:M51"/>
    <mergeCell ref="L52:M52"/>
    <mergeCell ref="L53:M53"/>
    <mergeCell ref="L43:M43"/>
    <mergeCell ref="L44:M44"/>
    <mergeCell ref="L45:M45"/>
    <mergeCell ref="L46:M46"/>
    <mergeCell ref="L47:M47"/>
    <mergeCell ref="L48:M4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asa_wang</dc:creator>
  <cp:lastModifiedBy>asa_wang</cp:lastModifiedBy>
  <dcterms:created xsi:type="dcterms:W3CDTF">2025-11-30T18:00:22Z</dcterms:created>
  <dcterms:modified xsi:type="dcterms:W3CDTF">2026-04-08T12:35:23Z</dcterms:modified>
</cp:coreProperties>
</file>