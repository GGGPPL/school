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chool\one down\普物實驗\2 RC 電路對直流與交流訊號的反應\"/>
    </mc:Choice>
  </mc:AlternateContent>
  <xr:revisionPtr revIDLastSave="0" documentId="13_ncr:1_{EAF08C65-7ECB-45C0-B6E8-D0BE1661A298}" xr6:coauthVersionLast="47" xr6:coauthVersionMax="47" xr10:uidLastSave="{00000000-0000-0000-0000-000000000000}"/>
  <bookViews>
    <workbookView xWindow="-110" yWindow="-110" windowWidth="25820" windowHeight="13900" activeTab="1" xr2:uid="{E94D7E06-B847-4966-AA45-058955BF689A}"/>
  </bookViews>
  <sheets>
    <sheet name="工作表1" sheetId="1" r:id="rId1"/>
    <sheet name="工作表2" sheetId="2" r:id="rId2"/>
    <sheet name="工作表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2" i="2"/>
  <c r="D3" i="3"/>
  <c r="D4" i="3"/>
  <c r="D5" i="3"/>
  <c r="D6" i="3"/>
  <c r="D7" i="3"/>
  <c r="E3" i="3"/>
  <c r="E4" i="3"/>
  <c r="E5" i="3"/>
  <c r="E6" i="3"/>
  <c r="E7" i="3"/>
  <c r="E2" i="3"/>
  <c r="D2" i="3"/>
  <c r="C3" i="3"/>
  <c r="C4" i="3"/>
  <c r="C5" i="3"/>
  <c r="C6" i="3"/>
  <c r="C7" i="3"/>
  <c r="C2" i="3"/>
  <c r="C4" i="2"/>
  <c r="C5" i="2"/>
  <c r="C6" i="2"/>
  <c r="C7" i="2"/>
  <c r="C8" i="2"/>
  <c r="C9" i="2"/>
  <c r="C10" i="2"/>
  <c r="F3" i="1"/>
  <c r="F4" i="1"/>
  <c r="F5" i="1"/>
  <c r="F6" i="1"/>
  <c r="G3" i="1"/>
  <c r="G4" i="1"/>
  <c r="G5" i="1"/>
  <c r="G6" i="1"/>
  <c r="C7" i="1"/>
  <c r="D7" i="1"/>
  <c r="E7" i="1"/>
  <c r="F7" i="1"/>
  <c r="G7" i="1"/>
  <c r="B7" i="1"/>
  <c r="F2" i="1"/>
  <c r="G2" i="1" s="1"/>
</calcChain>
</file>

<file path=xl/sharedStrings.xml><?xml version="1.0" encoding="utf-8"?>
<sst xmlns="http://schemas.openxmlformats.org/spreadsheetml/2006/main" count="19" uniqueCount="14">
  <si>
    <t>測量次數</t>
  </si>
  <si>
    <t>頻率 (Hz)</t>
  </si>
  <si>
    <t>半衰期 τ1/2​ (s)</t>
  </si>
  <si>
    <t>上升時間 tr​ (s)</t>
  </si>
  <si>
    <t>下降時間 tf​ (s)</t>
  </si>
  <si>
    <t>鬆弛時間 τ (s)</t>
  </si>
  <si>
    <t>誤差 (%)</t>
  </si>
  <si>
    <t>平均值</t>
  </si>
  <si>
    <t>頻率 f (Hz)</t>
  </si>
  <si>
    <t>角頻率 ω (rad/s)</t>
  </si>
  <si>
    <t>電容電壓 Vc​ (V)</t>
  </si>
  <si>
    <t>電阻電壓 VR​ (V)</t>
  </si>
  <si>
    <t>臨界頻率 fc​ (Hz)</t>
  </si>
  <si>
    <t>臨界角頻率 ωc​ (rad/s)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</si>
</sst>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4" formatCode="0.0"/>
  </numFmts>
  <fonts count="6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rgb="FF1F1F1F"/>
      <name val="Arial"/>
      <family val="2"/>
    </font>
    <font>
      <sz val="9"/>
      <name val="新細明體"/>
      <family val="2"/>
      <charset val="136"/>
      <scheme val="minor"/>
    </font>
    <font>
      <sz val="12"/>
      <color rgb="FF1F1F1F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0" borderId="1" xfId="0" applyFont="1" applyBorder="1" applyAlignment="1">
      <alignment vertical="center" wrapText="1" readingOrder="1"/>
    </xf>
    <xf numFmtId="0" fontId="0" fillId="0" borderId="1" xfId="0" applyFont="1" applyBorder="1">
      <alignment vertical="center"/>
    </xf>
    <xf numFmtId="9" fontId="1" fillId="0" borderId="1" xfId="1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184" fontId="5" fillId="0" borderId="1" xfId="0" applyNumberFormat="1" applyFont="1" applyBorder="1">
      <alignment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BE714-0B86-449B-AB6F-EFD290607F76}">
  <dimension ref="A1:G7"/>
  <sheetViews>
    <sheetView workbookViewId="0">
      <selection activeCell="I16" sqref="I16"/>
    </sheetView>
  </sheetViews>
  <sheetFormatPr defaultRowHeight="17" x14ac:dyDescent="0.4"/>
  <sheetData>
    <row r="1" spans="1:7" ht="31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4">
      <c r="A2" s="1">
        <v>1</v>
      </c>
      <c r="B2" s="1"/>
      <c r="C2" s="1"/>
      <c r="D2" s="1"/>
      <c r="E2" s="1"/>
      <c r="F2" s="2">
        <f>C2/LN(2)</f>
        <v>0</v>
      </c>
      <c r="G2" s="3">
        <f>(ABS(F2-0.0001)/0.0001)</f>
        <v>1</v>
      </c>
    </row>
    <row r="3" spans="1:7" x14ac:dyDescent="0.4">
      <c r="A3" s="1">
        <v>2</v>
      </c>
      <c r="B3" s="1"/>
      <c r="C3" s="1"/>
      <c r="D3" s="1"/>
      <c r="E3" s="1"/>
      <c r="F3" s="2">
        <f t="shared" ref="F3:F6" si="0">C3/LN(2)</f>
        <v>0</v>
      </c>
      <c r="G3" s="3">
        <f t="shared" ref="G3:G6" si="1">(ABS(F3-0.0001)/0.0001)</f>
        <v>1</v>
      </c>
    </row>
    <row r="4" spans="1:7" x14ac:dyDescent="0.4">
      <c r="A4" s="1">
        <v>3</v>
      </c>
      <c r="B4" s="1"/>
      <c r="C4" s="1"/>
      <c r="D4" s="1"/>
      <c r="E4" s="1"/>
      <c r="F4" s="2">
        <f t="shared" si="0"/>
        <v>0</v>
      </c>
      <c r="G4" s="3">
        <f t="shared" si="1"/>
        <v>1</v>
      </c>
    </row>
    <row r="5" spans="1:7" x14ac:dyDescent="0.4">
      <c r="A5" s="1">
        <v>4</v>
      </c>
      <c r="B5" s="1"/>
      <c r="C5" s="1"/>
      <c r="D5" s="1"/>
      <c r="E5" s="1"/>
      <c r="F5" s="2">
        <f t="shared" si="0"/>
        <v>0</v>
      </c>
      <c r="G5" s="3">
        <f t="shared" si="1"/>
        <v>1</v>
      </c>
    </row>
    <row r="6" spans="1:7" x14ac:dyDescent="0.4">
      <c r="A6" s="1">
        <v>5</v>
      </c>
      <c r="B6" s="1"/>
      <c r="C6" s="1"/>
      <c r="D6" s="1"/>
      <c r="E6" s="1"/>
      <c r="F6" s="2">
        <f t="shared" si="0"/>
        <v>0</v>
      </c>
      <c r="G6" s="3">
        <f t="shared" si="1"/>
        <v>1</v>
      </c>
    </row>
    <row r="7" spans="1:7" x14ac:dyDescent="0.4">
      <c r="A7" s="1" t="s">
        <v>7</v>
      </c>
      <c r="B7" s="2">
        <f>AVERAGE(F2:F6)</f>
        <v>0</v>
      </c>
      <c r="C7" s="2">
        <f t="shared" ref="C7:G7" si="2">AVERAGE(G2:G6)</f>
        <v>1</v>
      </c>
      <c r="D7" s="2" t="e">
        <f t="shared" si="2"/>
        <v>#DIV/0!</v>
      </c>
      <c r="E7" s="2" t="e">
        <f t="shared" si="2"/>
        <v>#DIV/0!</v>
      </c>
      <c r="F7" s="2" t="e">
        <f t="shared" si="2"/>
        <v>#DIV/0!</v>
      </c>
      <c r="G7" s="2" t="e">
        <f t="shared" si="2"/>
        <v>#DIV/0!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65666-F50A-462A-93BA-03A5B28F8871}">
  <dimension ref="A1:E10"/>
  <sheetViews>
    <sheetView tabSelected="1" workbookViewId="0">
      <selection activeCell="G4" sqref="G4"/>
    </sheetView>
  </sheetViews>
  <sheetFormatPr defaultRowHeight="17" x14ac:dyDescent="0.4"/>
  <cols>
    <col min="3" max="3" width="9.08984375" bestFit="1" customWidth="1"/>
  </cols>
  <sheetData>
    <row r="1" spans="1:5" ht="51" x14ac:dyDescent="0.4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</row>
    <row r="2" spans="1:5" x14ac:dyDescent="0.4">
      <c r="A2" s="4">
        <v>1</v>
      </c>
      <c r="B2" s="4">
        <v>100</v>
      </c>
      <c r="C2" s="5">
        <f>2*PI()*B2</f>
        <v>628.31853071795865</v>
      </c>
      <c r="D2" s="4"/>
      <c r="E2" s="4"/>
    </row>
    <row r="3" spans="1:5" x14ac:dyDescent="0.4">
      <c r="A3" s="4">
        <v>2</v>
      </c>
      <c r="B3" s="4">
        <v>200</v>
      </c>
      <c r="C3" s="5">
        <f t="shared" ref="C3:C10" si="0">2*PI()*B3</f>
        <v>1256.6370614359173</v>
      </c>
      <c r="D3" s="4"/>
      <c r="E3" s="4"/>
    </row>
    <row r="4" spans="1:5" x14ac:dyDescent="0.4">
      <c r="A4" s="4">
        <v>3</v>
      </c>
      <c r="B4" s="4">
        <v>400</v>
      </c>
      <c r="C4" s="5">
        <f t="shared" si="0"/>
        <v>2513.2741228718346</v>
      </c>
      <c r="D4" s="4"/>
      <c r="E4" s="4"/>
    </row>
    <row r="5" spans="1:5" x14ac:dyDescent="0.4">
      <c r="A5" s="4">
        <v>4</v>
      </c>
      <c r="B5" s="4">
        <v>600</v>
      </c>
      <c r="C5" s="5">
        <f t="shared" si="0"/>
        <v>3769.9111843077517</v>
      </c>
      <c r="D5" s="4"/>
      <c r="E5" s="4"/>
    </row>
    <row r="6" spans="1:5" x14ac:dyDescent="0.4">
      <c r="A6" s="4">
        <v>5</v>
      </c>
      <c r="B6" s="4">
        <v>800</v>
      </c>
      <c r="C6" s="5">
        <f t="shared" si="0"/>
        <v>5026.5482457436692</v>
      </c>
      <c r="D6" s="4"/>
      <c r="E6" s="4"/>
    </row>
    <row r="7" spans="1:5" x14ac:dyDescent="0.4">
      <c r="A7" s="4">
        <v>6</v>
      </c>
      <c r="B7" s="4">
        <v>1000</v>
      </c>
      <c r="C7" s="5">
        <f t="shared" si="0"/>
        <v>6283.1853071795858</v>
      </c>
      <c r="D7" s="4"/>
      <c r="E7" s="4"/>
    </row>
    <row r="8" spans="1:5" x14ac:dyDescent="0.4">
      <c r="A8" s="4">
        <v>7</v>
      </c>
      <c r="B8" s="4">
        <v>2000</v>
      </c>
      <c r="C8" s="5">
        <f t="shared" si="0"/>
        <v>12566.370614359172</v>
      </c>
      <c r="D8" s="4"/>
      <c r="E8" s="4"/>
    </row>
    <row r="9" spans="1:5" x14ac:dyDescent="0.4">
      <c r="A9" s="4">
        <v>8</v>
      </c>
      <c r="B9" s="4">
        <v>5000</v>
      </c>
      <c r="C9" s="5">
        <f t="shared" si="0"/>
        <v>31415.926535897932</v>
      </c>
      <c r="D9" s="4"/>
      <c r="E9" s="4"/>
    </row>
    <row r="10" spans="1:5" x14ac:dyDescent="0.4">
      <c r="A10" s="4">
        <v>9</v>
      </c>
      <c r="B10" s="4">
        <v>10000</v>
      </c>
      <c r="C10" s="5">
        <f t="shared" si="0"/>
        <v>62831.853071795864</v>
      </c>
      <c r="D10" s="4"/>
      <c r="E10" s="4"/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74C8A-F12E-44FF-9EA1-26E1BB589D4E}">
  <dimension ref="A1:E7"/>
  <sheetViews>
    <sheetView workbookViewId="0">
      <selection activeCell="I7" sqref="I7"/>
    </sheetView>
  </sheetViews>
  <sheetFormatPr defaultRowHeight="17" x14ac:dyDescent="0.4"/>
  <sheetData>
    <row r="1" spans="1:5" ht="46.5" x14ac:dyDescent="0.4">
      <c r="A1" s="1" t="s">
        <v>0</v>
      </c>
      <c r="B1" s="1" t="s">
        <v>12</v>
      </c>
      <c r="C1" s="1" t="s">
        <v>13</v>
      </c>
      <c r="D1" s="1" t="s">
        <v>5</v>
      </c>
      <c r="E1" s="1" t="s">
        <v>6</v>
      </c>
    </row>
    <row r="2" spans="1:5" x14ac:dyDescent="0.4">
      <c r="A2" s="1">
        <v>1</v>
      </c>
      <c r="B2" s="1"/>
      <c r="C2" s="2">
        <f>2*PI()*B2</f>
        <v>0</v>
      </c>
      <c r="D2" s="2" t="e">
        <f>1/C2</f>
        <v>#DIV/0!</v>
      </c>
      <c r="E2" s="3" t="e">
        <f>(ABS(D2-0.0001)/0.0001)</f>
        <v>#DIV/0!</v>
      </c>
    </row>
    <row r="3" spans="1:5" x14ac:dyDescent="0.4">
      <c r="A3" s="1">
        <v>2</v>
      </c>
      <c r="B3" s="1"/>
      <c r="C3" s="2">
        <f t="shared" ref="C3:C7" si="0">2*PI()*B3</f>
        <v>0</v>
      </c>
      <c r="D3" s="2" t="e">
        <f t="shared" ref="D3:D7" si="1">1/C3</f>
        <v>#DIV/0!</v>
      </c>
      <c r="E3" s="3" t="e">
        <f t="shared" ref="E3:E7" si="2">(ABS(D3-0.0001)/0.0001)</f>
        <v>#DIV/0!</v>
      </c>
    </row>
    <row r="4" spans="1:5" x14ac:dyDescent="0.4">
      <c r="A4" s="1">
        <v>3</v>
      </c>
      <c r="B4" s="1"/>
      <c r="C4" s="2">
        <f t="shared" si="0"/>
        <v>0</v>
      </c>
      <c r="D4" s="2" t="e">
        <f t="shared" si="1"/>
        <v>#DIV/0!</v>
      </c>
      <c r="E4" s="3" t="e">
        <f t="shared" si="2"/>
        <v>#DIV/0!</v>
      </c>
    </row>
    <row r="5" spans="1:5" x14ac:dyDescent="0.4">
      <c r="A5" s="1">
        <v>4</v>
      </c>
      <c r="B5" s="1"/>
      <c r="C5" s="2">
        <f t="shared" si="0"/>
        <v>0</v>
      </c>
      <c r="D5" s="2" t="e">
        <f t="shared" si="1"/>
        <v>#DIV/0!</v>
      </c>
      <c r="E5" s="3" t="e">
        <f t="shared" si="2"/>
        <v>#DIV/0!</v>
      </c>
    </row>
    <row r="6" spans="1:5" x14ac:dyDescent="0.4">
      <c r="A6" s="1">
        <v>5</v>
      </c>
      <c r="B6" s="1"/>
      <c r="C6" s="2">
        <f t="shared" si="0"/>
        <v>0</v>
      </c>
      <c r="D6" s="2" t="e">
        <f t="shared" si="1"/>
        <v>#DIV/0!</v>
      </c>
      <c r="E6" s="3" t="e">
        <f t="shared" si="2"/>
        <v>#DIV/0!</v>
      </c>
    </row>
    <row r="7" spans="1:5" x14ac:dyDescent="0.4">
      <c r="A7" s="1" t="s">
        <v>7</v>
      </c>
      <c r="B7" s="1"/>
      <c r="C7" s="2">
        <f t="shared" si="0"/>
        <v>0</v>
      </c>
      <c r="D7" s="2" t="e">
        <f t="shared" si="1"/>
        <v>#DIV/0!</v>
      </c>
      <c r="E7" s="3" t="e">
        <f t="shared" si="2"/>
        <v>#DIV/0!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工作表1</vt:lpstr>
      <vt:lpstr>工作表2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asa_wang</dc:creator>
  <cp:lastModifiedBy>asa_wang</cp:lastModifiedBy>
  <dcterms:created xsi:type="dcterms:W3CDTF">2026-03-01T19:40:48Z</dcterms:created>
  <dcterms:modified xsi:type="dcterms:W3CDTF">2026-03-01T20:14:44Z</dcterms:modified>
</cp:coreProperties>
</file>