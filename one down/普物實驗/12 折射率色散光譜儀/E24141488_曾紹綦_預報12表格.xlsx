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 Wang\.gemini\Workspaces\school\one down\普物實驗\12 折射率色散光譜儀\"/>
    </mc:Choice>
  </mc:AlternateContent>
  <xr:revisionPtr revIDLastSave="0" documentId="13_ncr:1_{552D27C4-C9EB-4D2D-9F55-58EA99B7CF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KK62I0HCP/p7sR/YzkD5d4dYdZonLCx05nDFx+uDps="/>
    </ext>
  </extLst>
</workbook>
</file>

<file path=xl/calcChain.xml><?xml version="1.0" encoding="utf-8"?>
<calcChain xmlns="http://schemas.openxmlformats.org/spreadsheetml/2006/main">
  <c r="D22" i="1" l="1"/>
  <c r="D58" i="1"/>
  <c r="E56" i="1"/>
  <c r="F56" i="1" s="1"/>
  <c r="G56" i="1" s="1"/>
  <c r="E55" i="1"/>
  <c r="F55" i="1" s="1"/>
  <c r="G55" i="1" s="1"/>
  <c r="E54" i="1"/>
  <c r="F54" i="1" s="1"/>
  <c r="G54" i="1" s="1"/>
  <c r="E53" i="1"/>
  <c r="F53" i="1" s="1"/>
  <c r="G53" i="1" s="1"/>
  <c r="E52" i="1"/>
  <c r="F52" i="1" s="1"/>
  <c r="G52" i="1" s="1"/>
  <c r="D51" i="1"/>
  <c r="E49" i="1"/>
  <c r="F49" i="1" s="1"/>
  <c r="G49" i="1" s="1"/>
  <c r="E48" i="1"/>
  <c r="F48" i="1" s="1"/>
  <c r="G48" i="1" s="1"/>
  <c r="E47" i="1"/>
  <c r="F47" i="1" s="1"/>
  <c r="G47" i="1" s="1"/>
  <c r="E46" i="1"/>
  <c r="F46" i="1" s="1"/>
  <c r="G46" i="1" s="1"/>
  <c r="E45" i="1"/>
  <c r="F45" i="1" s="1"/>
  <c r="G45" i="1" s="1"/>
  <c r="D44" i="1"/>
  <c r="E42" i="1"/>
  <c r="F42" i="1" s="1"/>
  <c r="G42" i="1" s="1"/>
  <c r="E41" i="1"/>
  <c r="F41" i="1" s="1"/>
  <c r="G41" i="1" s="1"/>
  <c r="E40" i="1"/>
  <c r="F40" i="1" s="1"/>
  <c r="G40" i="1" s="1"/>
  <c r="E39" i="1"/>
  <c r="F39" i="1" s="1"/>
  <c r="G39" i="1" s="1"/>
  <c r="E38" i="1"/>
  <c r="F38" i="1" s="1"/>
  <c r="G38" i="1" s="1"/>
  <c r="D37" i="1"/>
  <c r="E35" i="1"/>
  <c r="F35" i="1" s="1"/>
  <c r="G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D30" i="1"/>
  <c r="E28" i="1"/>
  <c r="F28" i="1" s="1"/>
  <c r="G28" i="1" s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D23" i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D16" i="1"/>
  <c r="E14" i="1"/>
  <c r="F14" i="1" s="1"/>
  <c r="G14" i="1" s="1"/>
  <c r="E13" i="1"/>
  <c r="F13" i="1" s="1"/>
  <c r="G13" i="1" s="1"/>
  <c r="E12" i="1"/>
  <c r="F12" i="1" s="1"/>
  <c r="G12" i="1" s="1"/>
  <c r="E11" i="1"/>
  <c r="F11" i="1" s="1"/>
  <c r="G11" i="1" s="1"/>
  <c r="E10" i="1"/>
  <c r="F10" i="1" s="1"/>
  <c r="G10" i="1" s="1"/>
  <c r="D9" i="1"/>
  <c r="E7" i="1"/>
  <c r="F7" i="1" s="1"/>
  <c r="G7" i="1" s="1"/>
  <c r="E6" i="1"/>
  <c r="F6" i="1" s="1"/>
  <c r="G6" i="1" s="1"/>
  <c r="E5" i="1"/>
  <c r="F5" i="1" s="1"/>
  <c r="G5" i="1" s="1"/>
  <c r="E4" i="1"/>
  <c r="F4" i="1" s="1"/>
  <c r="G4" i="1" s="1"/>
  <c r="F3" i="1"/>
  <c r="G3" i="1" s="1"/>
  <c r="G57" i="1" l="1"/>
  <c r="G22" i="1"/>
  <c r="D8" i="1"/>
  <c r="G9" i="1" s="1"/>
  <c r="D57" i="1"/>
  <c r="G58" i="1" s="1"/>
  <c r="G36" i="1"/>
  <c r="D36" i="1"/>
  <c r="G37" i="1" s="1"/>
  <c r="G23" i="1"/>
  <c r="G8" i="1"/>
  <c r="G50" i="1"/>
  <c r="D50" i="1"/>
  <c r="G51" i="1" s="1"/>
  <c r="G43" i="1"/>
  <c r="D43" i="1"/>
  <c r="G44" i="1" s="1"/>
  <c r="G29" i="1"/>
  <c r="D29" i="1"/>
  <c r="G30" i="1" s="1"/>
  <c r="G15" i="1"/>
  <c r="D15" i="1"/>
  <c r="G16" i="1" s="1"/>
</calcChain>
</file>

<file path=xl/sharedStrings.xml><?xml version="1.0" encoding="utf-8"?>
<sst xmlns="http://schemas.openxmlformats.org/spreadsheetml/2006/main" count="45" uniqueCount="24">
  <si>
    <r>
      <rPr>
        <sz val="12"/>
        <color theme="1"/>
        <rFont val="DFKai-SB"/>
        <family val="4"/>
        <charset val="136"/>
      </rPr>
      <t>d</t>
    </r>
    <r>
      <rPr>
        <sz val="12"/>
        <color theme="1"/>
        <rFont val="Arial"/>
        <family val="2"/>
      </rPr>
      <t>1(°)</t>
    </r>
  </si>
  <si>
    <r>
      <rPr>
        <sz val="12"/>
        <color theme="1"/>
        <rFont val="DFKai-SB"/>
        <family val="4"/>
        <charset val="136"/>
      </rPr>
      <t>d</t>
    </r>
    <r>
      <rPr>
        <sz val="12"/>
        <color theme="1"/>
        <rFont val="Arial"/>
        <family val="2"/>
      </rPr>
      <t>2(°)</t>
    </r>
  </si>
  <si>
    <t>D(°)</t>
  </si>
  <si>
    <t>n</t>
  </si>
  <si>
    <t>編號 1</t>
  </si>
  <si>
    <t>N (6908) =</t>
  </si>
  <si>
    <t>標準差 =</t>
  </si>
  <si>
    <t>理論值 =</t>
  </si>
  <si>
    <t>誤差(%) =</t>
  </si>
  <si>
    <t>編號 2</t>
  </si>
  <si>
    <t>N (6234) =</t>
  </si>
  <si>
    <t>編號 3</t>
  </si>
  <si>
    <t>N (5791) =</t>
  </si>
  <si>
    <t>編號 4</t>
  </si>
  <si>
    <t>N (5461) =</t>
  </si>
  <si>
    <t>編號 5</t>
  </si>
  <si>
    <t>N (4916) =</t>
  </si>
  <si>
    <t>編號 6</t>
  </si>
  <si>
    <t>N (4358) =</t>
  </si>
  <si>
    <t>編號 7</t>
  </si>
  <si>
    <t>N (4078) =</t>
  </si>
  <si>
    <t>編號 8</t>
  </si>
  <si>
    <t>N (4047) =</t>
  </si>
  <si>
    <r>
      <t xml:space="preserve">波長 </t>
    </r>
    <r>
      <rPr>
        <sz val="12"/>
        <color theme="1"/>
        <rFont val="Calibri"/>
        <family val="4"/>
        <charset val="161"/>
      </rPr>
      <t>λ</t>
    </r>
    <r>
      <rPr>
        <sz val="12"/>
        <color theme="1"/>
        <rFont val="DFKai-SB"/>
        <family val="4"/>
        <charset val="136"/>
      </rPr>
      <t xml:space="preserve"> (</t>
    </r>
    <r>
      <rPr>
        <sz val="12"/>
        <color theme="1"/>
        <rFont val="Segoe UI Symbol"/>
        <family val="1"/>
      </rPr>
      <t>Å</t>
    </r>
    <r>
      <rPr>
        <sz val="12"/>
        <color theme="1"/>
        <rFont val="Arial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</si>
</sst>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2"/>
      <color theme="1"/>
      <name val="Aptos Narrow"/>
      <scheme val="minor"/>
    </font>
    <font>
      <sz val="12"/>
      <color theme="1"/>
      <name val="DFKai-SB"/>
      <family val="4"/>
      <charset val="136"/>
    </font>
    <font>
      <sz val="12"/>
      <name val="Aptos Narrow"/>
      <family val="2"/>
    </font>
    <font>
      <sz val="12"/>
      <color theme="1"/>
      <name val="Arial"/>
      <family val="2"/>
    </font>
    <font>
      <sz val="9"/>
      <name val="Aptos Narrow"/>
      <family val="3"/>
      <charset val="136"/>
      <scheme val="minor"/>
    </font>
    <font>
      <sz val="12"/>
      <color theme="1"/>
      <name val="Calibri"/>
      <family val="4"/>
      <charset val="161"/>
    </font>
    <font>
      <sz val="12"/>
      <color theme="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2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altLang="zh-TW"/>
              <a:t>λ</a:t>
            </a:r>
            <a:r>
              <a:rPr lang="en-US" altLang="zh-TW" baseline="0"/>
              <a:t> </a:t>
            </a:r>
            <a:r>
              <a:rPr lang="en-US" altLang="zh-TW"/>
              <a:t>- 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理論值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(工作表1!$C$3,工作表1!$C$10,工作表1!$C$17,工作表1!$C$24,工作表1!$C$31,工作表1!$C$38,工作表1!$C$45)</c:f>
              <c:numCache>
                <c:formatCode>General</c:formatCode>
                <c:ptCount val="7"/>
                <c:pt idx="0">
                  <c:v>6908</c:v>
                </c:pt>
                <c:pt idx="1">
                  <c:v>6234</c:v>
                </c:pt>
                <c:pt idx="2">
                  <c:v>5791</c:v>
                </c:pt>
                <c:pt idx="3">
                  <c:v>5461</c:v>
                </c:pt>
                <c:pt idx="4">
                  <c:v>4916</c:v>
                </c:pt>
                <c:pt idx="5">
                  <c:v>4358</c:v>
                </c:pt>
                <c:pt idx="6">
                  <c:v>4078</c:v>
                </c:pt>
              </c:numCache>
            </c:numRef>
          </c:xVal>
          <c:yVal>
            <c:numRef>
              <c:f>(工作表1!$D$9,工作表1!$D$16,工作表1!$D$23,工作表1!$D$30,工作表1!$D$37,工作表1!$D$44,工作表1!$D$51,工作表1!$D$58)</c:f>
              <c:numCache>
                <c:formatCode>0.0000</c:formatCode>
                <c:ptCount val="8"/>
                <c:pt idx="0">
                  <c:v>1.7693043932836463</c:v>
                </c:pt>
                <c:pt idx="1">
                  <c:v>1.7770682993856606</c:v>
                </c:pt>
                <c:pt idx="2">
                  <c:v>1.7837084014091338</c:v>
                </c:pt>
                <c:pt idx="3">
                  <c:v>1.7898166833935598</c:v>
                </c:pt>
                <c:pt idx="4">
                  <c:v>1.8031618546673747</c:v>
                </c:pt>
                <c:pt idx="5">
                  <c:v>1.8238664841135974</c:v>
                </c:pt>
                <c:pt idx="6">
                  <c:v>1.838946292143772</c:v>
                </c:pt>
                <c:pt idx="7">
                  <c:v>1.8409012120741861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0-4573-BF9B-D313F23992A8}"/>
            </c:ext>
          </c:extLst>
        </c:ser>
        <c:ser>
          <c:idx val="1"/>
          <c:order val="1"/>
          <c:tx>
            <c:v>實驗值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(工作表1!$C$3,工作表1!$C$10,工作表1!$C$17,工作表1!$C$24,工作表1!$C$31,工作表1!$C$38,工作表1!$C$45,工作表1!$C$52)</c:f>
              <c:numCache>
                <c:formatCode>General</c:formatCode>
                <c:ptCount val="8"/>
                <c:pt idx="0">
                  <c:v>6908</c:v>
                </c:pt>
                <c:pt idx="1">
                  <c:v>6234</c:v>
                </c:pt>
                <c:pt idx="2">
                  <c:v>5791</c:v>
                </c:pt>
                <c:pt idx="3">
                  <c:v>5461</c:v>
                </c:pt>
                <c:pt idx="4">
                  <c:v>4916</c:v>
                </c:pt>
                <c:pt idx="5">
                  <c:v>4358</c:v>
                </c:pt>
                <c:pt idx="6">
                  <c:v>4078</c:v>
                </c:pt>
                <c:pt idx="7">
                  <c:v>4047</c:v>
                </c:pt>
              </c:numCache>
            </c:numRef>
          </c:xVal>
          <c:yVal>
            <c:numRef>
              <c:f>(工作表1!$D$8,工作表1!$D$15,工作表1!$D$22,工作表1!$D$29,工作表1!$D$36,工作表1!$D$43,工作表1!$D$50,工作表1!$D$57)</c:f>
              <c:numCache>
                <c:formatCode>0.0000</c:formatCode>
                <c:ptCount val="8"/>
                <c:pt idx="0">
                  <c:v>1.7720148324350895</c:v>
                </c:pt>
                <c:pt idx="1">
                  <c:v>1.7795153210946069</c:v>
                </c:pt>
                <c:pt idx="2">
                  <c:v>1.7862515632516431</c:v>
                </c:pt>
                <c:pt idx="3">
                  <c:v>1.7893532565569565</c:v>
                </c:pt>
                <c:pt idx="4">
                  <c:v>1.8041757495752919</c:v>
                </c:pt>
                <c:pt idx="5">
                  <c:v>1.8223578697906568</c:v>
                </c:pt>
                <c:pt idx="6">
                  <c:v>1.8396548585636996</c:v>
                </c:pt>
                <c:pt idx="7">
                  <c:v>1.841009706904881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0-4573-BF9B-D313F2399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517279"/>
        <c:axId val="1041516799"/>
      </c:scatterChart>
      <c:valAx>
        <c:axId val="1041517279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 </a:t>
                </a:r>
                <a:r>
                  <a:rPr lang="el-GR" altLang="zh-TW"/>
                  <a:t>λ (</a:t>
                </a:r>
                <a:r>
                  <a:rPr lang="en-US" altLang="zh-TW"/>
                  <a:t>Å)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1516799"/>
        <c:crosses val="autoZero"/>
        <c:crossBetween val="midCat"/>
      </c:valAx>
      <c:valAx>
        <c:axId val="104151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1517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31</xdr:row>
      <xdr:rowOff>22225</xdr:rowOff>
    </xdr:from>
    <xdr:to>
      <xdr:col>17</xdr:col>
      <xdr:colOff>44450</xdr:colOff>
      <xdr:row>43</xdr:row>
      <xdr:rowOff>22225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5661160-7A27-12B5-54C0-0BA497BB1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1" workbookViewId="0">
      <selection activeCell="B2" sqref="B2:C2"/>
    </sheetView>
  </sheetViews>
  <sheetFormatPr defaultColWidth="11.19921875" defaultRowHeight="15" customHeight="1"/>
  <cols>
    <col min="1" max="26" width="7.59765625" customWidth="1"/>
  </cols>
  <sheetData>
    <row r="1" spans="1:26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/>
      <c r="B2" s="22" t="s">
        <v>23</v>
      </c>
      <c r="C2" s="23"/>
      <c r="D2" s="2" t="s">
        <v>0</v>
      </c>
      <c r="E2" s="2" t="s">
        <v>1</v>
      </c>
      <c r="F2" s="2" t="s">
        <v>2</v>
      </c>
      <c r="G2" s="3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"/>
      <c r="B3" s="16" t="s">
        <v>4</v>
      </c>
      <c r="C3" s="19">
        <v>6908</v>
      </c>
      <c r="D3" s="4">
        <v>286</v>
      </c>
      <c r="E3" s="4">
        <v>351</v>
      </c>
      <c r="F3" s="5">
        <f t="shared" ref="F3:F7" si="0">ABS(D3-E3)</f>
        <v>65</v>
      </c>
      <c r="G3" s="6">
        <f t="shared" ref="G3:G7" si="1">SIN(RADIANS((F3+60)/2))/SIN(RADIANS(30))</f>
        <v>1.7740216663564436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"/>
      <c r="B4" s="17"/>
      <c r="C4" s="20"/>
      <c r="D4" s="4">
        <v>286.25</v>
      </c>
      <c r="E4" s="5">
        <f>E3</f>
        <v>351</v>
      </c>
      <c r="F4" s="5">
        <f t="shared" si="0"/>
        <v>64.75</v>
      </c>
      <c r="G4" s="6">
        <f t="shared" si="1"/>
        <v>1.7720026876933925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"/>
      <c r="B5" s="17"/>
      <c r="C5" s="20"/>
      <c r="D5" s="4">
        <v>286.33</v>
      </c>
      <c r="E5" s="5">
        <f>E3</f>
        <v>351</v>
      </c>
      <c r="F5" s="5">
        <f t="shared" si="0"/>
        <v>64.670000000000016</v>
      </c>
      <c r="G5" s="6">
        <f t="shared" si="1"/>
        <v>1.7713548327772501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"/>
      <c r="B6" s="17"/>
      <c r="C6" s="20"/>
      <c r="D6" s="4">
        <v>286</v>
      </c>
      <c r="E6" s="5">
        <f>E3</f>
        <v>351</v>
      </c>
      <c r="F6" s="5">
        <f t="shared" si="0"/>
        <v>65</v>
      </c>
      <c r="G6" s="6">
        <f t="shared" si="1"/>
        <v>1.7740216663564436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"/>
      <c r="B7" s="18"/>
      <c r="C7" s="21"/>
      <c r="D7" s="4">
        <v>286.66000000000003</v>
      </c>
      <c r="E7" s="5">
        <f>E3</f>
        <v>351</v>
      </c>
      <c r="F7" s="5">
        <f t="shared" si="0"/>
        <v>64.339999999999975</v>
      </c>
      <c r="G7" s="6">
        <f t="shared" si="1"/>
        <v>1.768673308991918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"/>
      <c r="B8" s="14" t="s">
        <v>5</v>
      </c>
      <c r="C8" s="11"/>
      <c r="D8" s="7">
        <f>AVERAGE(G3:G7)</f>
        <v>1.7720148324350895</v>
      </c>
      <c r="E8" s="10" t="s">
        <v>6</v>
      </c>
      <c r="F8" s="11"/>
      <c r="G8" s="6">
        <f>_xlfn.STDEV.P(G3:G7)</f>
        <v>1.9827400606311999E-3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"/>
      <c r="B9" s="15" t="s">
        <v>7</v>
      </c>
      <c r="C9" s="13"/>
      <c r="D9" s="8">
        <f>SQRT(1+(1.73848403*0.6908^2)/(0.6908^2-0.01360686)+(0.311168974*0.6908^2)/(0.6908^2-0.061596046))+(1.17490871*0.6908^2)/(0.6908^2-121.922711)</f>
        <v>1.7693043932836463</v>
      </c>
      <c r="E9" s="12" t="s">
        <v>8</v>
      </c>
      <c r="F9" s="13"/>
      <c r="G9" s="9">
        <f>ABS((D8-D9)/D9*100)</f>
        <v>0.15319235976195736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"/>
      <c r="B10" s="16" t="s">
        <v>9</v>
      </c>
      <c r="C10" s="19">
        <v>6234</v>
      </c>
      <c r="D10" s="4">
        <v>285.33</v>
      </c>
      <c r="E10" s="5">
        <f>E3</f>
        <v>351</v>
      </c>
      <c r="F10" s="5">
        <f t="shared" ref="F10:F14" si="2">ABS(D10-E10)</f>
        <v>65.670000000000016</v>
      </c>
      <c r="G10" s="6">
        <f t="shared" ref="G10:G14" si="3">SIN(RADIANS((F10+60)/2))/SIN(RADIANS(30))</f>
        <v>1.7793908651247012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17"/>
      <c r="C11" s="20"/>
      <c r="D11" s="4">
        <v>285.25</v>
      </c>
      <c r="E11" s="5">
        <f>E3</f>
        <v>351</v>
      </c>
      <c r="F11" s="5">
        <f t="shared" si="2"/>
        <v>65.75</v>
      </c>
      <c r="G11" s="6">
        <f t="shared" si="3"/>
        <v>1.7800279018248195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"/>
      <c r="B12" s="17"/>
      <c r="C12" s="20"/>
      <c r="D12" s="4">
        <v>285</v>
      </c>
      <c r="E12" s="5">
        <f>E3</f>
        <v>351</v>
      </c>
      <c r="F12" s="5">
        <f t="shared" si="2"/>
        <v>66</v>
      </c>
      <c r="G12" s="6">
        <f t="shared" si="3"/>
        <v>1.7820130483767358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17"/>
      <c r="C13" s="20"/>
      <c r="D13" s="4">
        <v>285.66000000000003</v>
      </c>
      <c r="E13" s="5">
        <f>E3</f>
        <v>351</v>
      </c>
      <c r="F13" s="5">
        <f t="shared" si="2"/>
        <v>65.339999999999975</v>
      </c>
      <c r="G13" s="6">
        <f t="shared" si="3"/>
        <v>1.7767539250220761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18"/>
      <c r="C14" s="21"/>
      <c r="D14" s="4">
        <v>285.33</v>
      </c>
      <c r="E14" s="5">
        <f>E3</f>
        <v>351</v>
      </c>
      <c r="F14" s="5">
        <f t="shared" si="2"/>
        <v>65.670000000000016</v>
      </c>
      <c r="G14" s="6">
        <f t="shared" si="3"/>
        <v>1.7793908651247012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14" t="s">
        <v>10</v>
      </c>
      <c r="C15" s="11"/>
      <c r="D15" s="7">
        <f>AVERAGE(G10:G14)</f>
        <v>1.7795153210946069</v>
      </c>
      <c r="E15" s="10" t="s">
        <v>6</v>
      </c>
      <c r="F15" s="11"/>
      <c r="G15" s="6">
        <f>_xlfn.STDEV.P(G10:G14)</f>
        <v>1.6827161036345548E-3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5" t="s">
        <v>7</v>
      </c>
      <c r="C16" s="13"/>
      <c r="D16" s="8">
        <f>SQRT(1+(1.73848403*0.6234^2)/(0.6234^2-0.01360686)+(0.311168974*0.6234^2)/(0.6234^2-0.061596046))+(1.17490871*0.6234^2)/(0.6234^2-121.922711)</f>
        <v>1.7770682993856606</v>
      </c>
      <c r="E16" s="12" t="s">
        <v>8</v>
      </c>
      <c r="F16" s="13"/>
      <c r="G16" s="9">
        <f>ABS((D15-D16)/D16*100)</f>
        <v>0.13769992463386066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6" t="s">
        <v>11</v>
      </c>
      <c r="C17" s="19">
        <v>5791</v>
      </c>
      <c r="D17" s="4">
        <v>284.66000000000003</v>
      </c>
      <c r="E17" s="5">
        <f>E3</f>
        <v>351</v>
      </c>
      <c r="F17" s="5">
        <f t="shared" ref="F17:F21" si="4">ABS(D17-E17)</f>
        <v>66.339999999999975</v>
      </c>
      <c r="G17" s="6">
        <f t="shared" ref="G17:G21" si="5">SIN(RADIANS((F17+60)/2))/SIN(RADIANS(30))</f>
        <v>1.7846992343618611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7"/>
      <c r="C18" s="20"/>
      <c r="D18" s="4">
        <v>284.33</v>
      </c>
      <c r="E18" s="5">
        <f>E3</f>
        <v>351</v>
      </c>
      <c r="F18" s="5">
        <f t="shared" si="4"/>
        <v>66.670000000000016</v>
      </c>
      <c r="G18" s="6">
        <f t="shared" si="5"/>
        <v>1.7872913899685812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7"/>
      <c r="C19" s="20"/>
      <c r="D19" s="4">
        <v>284</v>
      </c>
      <c r="E19" s="5">
        <f>E3</f>
        <v>351</v>
      </c>
      <c r="F19" s="5">
        <f t="shared" si="4"/>
        <v>67</v>
      </c>
      <c r="G19" s="6">
        <f t="shared" si="5"/>
        <v>1.7898687232040504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7"/>
      <c r="C20" s="20"/>
      <c r="D20" s="4">
        <v>284.66000000000003</v>
      </c>
      <c r="E20" s="5">
        <f>E3</f>
        <v>351</v>
      </c>
      <c r="F20" s="5">
        <f t="shared" si="4"/>
        <v>66.339999999999975</v>
      </c>
      <c r="G20" s="6">
        <f t="shared" si="5"/>
        <v>1.7846992343618611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8"/>
      <c r="C21" s="21"/>
      <c r="D21" s="4">
        <v>284.66000000000003</v>
      </c>
      <c r="E21" s="5">
        <f>E3</f>
        <v>351</v>
      </c>
      <c r="F21" s="5">
        <f t="shared" si="4"/>
        <v>66.339999999999975</v>
      </c>
      <c r="G21" s="6">
        <f t="shared" si="5"/>
        <v>1.7846992343618611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4" t="s">
        <v>12</v>
      </c>
      <c r="C22" s="11"/>
      <c r="D22" s="7">
        <f>AVERAGE(G17:G21)</f>
        <v>1.7862515632516431</v>
      </c>
      <c r="E22" s="10" t="s">
        <v>6</v>
      </c>
      <c r="F22" s="11"/>
      <c r="G22" s="6">
        <f>_xlfn.STDEV.P(G17:G21)</f>
        <v>2.0685386469057538E-3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5" t="s">
        <v>7</v>
      </c>
      <c r="C23" s="13"/>
      <c r="D23" s="8">
        <f>SQRT(1+(1.73848403*0.5791^2)/(0.5791^2-0.01360686)+(0.311168974*0.5791^2)/(0.5791^2-0.061596046))+(1.17490871*0.5791^2)/(0.5791^2-121.922711)</f>
        <v>1.7837084014091338</v>
      </c>
      <c r="E23" s="12" t="s">
        <v>8</v>
      </c>
      <c r="F23" s="13"/>
      <c r="G23" s="9">
        <f>ABS((D22-D23)/D23*100)</f>
        <v>0.14257721948835653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6" t="s">
        <v>13</v>
      </c>
      <c r="C24" s="19">
        <v>5461</v>
      </c>
      <c r="D24" s="4">
        <v>284</v>
      </c>
      <c r="E24" s="5">
        <f>E3</f>
        <v>351</v>
      </c>
      <c r="F24" s="5">
        <f t="shared" ref="F24:F28" si="6">ABS(D24-E24)</f>
        <v>67</v>
      </c>
      <c r="G24" s="6">
        <f t="shared" ref="G24:G28" si="7">SIN(RADIANS((F24+60)/2))/SIN(RADIANS(30))</f>
        <v>1.7898687232040504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7"/>
      <c r="C25" s="20"/>
      <c r="D25" s="4">
        <v>284</v>
      </c>
      <c r="E25" s="5">
        <f>E3</f>
        <v>351</v>
      </c>
      <c r="F25" s="5">
        <f t="shared" si="6"/>
        <v>67</v>
      </c>
      <c r="G25" s="6">
        <f t="shared" si="7"/>
        <v>1.7898687232040504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7"/>
      <c r="C26" s="20"/>
      <c r="D26" s="4">
        <v>284.33</v>
      </c>
      <c r="E26" s="5">
        <f>E3</f>
        <v>351</v>
      </c>
      <c r="F26" s="5">
        <f t="shared" si="6"/>
        <v>66.670000000000016</v>
      </c>
      <c r="G26" s="6">
        <f t="shared" si="7"/>
        <v>1.7872913899685812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7"/>
      <c r="C27" s="20"/>
      <c r="D27" s="4">
        <v>284</v>
      </c>
      <c r="E27" s="5">
        <f>E3</f>
        <v>351</v>
      </c>
      <c r="F27" s="5">
        <f t="shared" si="6"/>
        <v>67</v>
      </c>
      <c r="G27" s="6">
        <f t="shared" si="7"/>
        <v>1.7898687232040504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8"/>
      <c r="C28" s="21"/>
      <c r="D28" s="4">
        <v>284</v>
      </c>
      <c r="E28" s="5">
        <f>E3</f>
        <v>351</v>
      </c>
      <c r="F28" s="5">
        <f t="shared" si="6"/>
        <v>67</v>
      </c>
      <c r="G28" s="6">
        <f t="shared" si="7"/>
        <v>1.7898687232040504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4" t="s">
        <v>14</v>
      </c>
      <c r="C29" s="11"/>
      <c r="D29" s="7">
        <f>AVERAGE(G24:G28)</f>
        <v>1.7893532565569565</v>
      </c>
      <c r="E29" s="10" t="s">
        <v>6</v>
      </c>
      <c r="F29" s="11"/>
      <c r="G29" s="6">
        <f>_xlfn.STDEV.P(G24:G28)</f>
        <v>1.0309332941877082E-3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5" t="s">
        <v>7</v>
      </c>
      <c r="C30" s="13"/>
      <c r="D30" s="8">
        <f>SQRT(1+(1.73848403*0.5461^2)/(0.5461^2-0.01360686)+(0.311168974*0.5461^2)/(0.5461^2-0.061596046))+(1.17490871*0.5461^2)/(0.5461^2-121.922711)</f>
        <v>1.7898166833935598</v>
      </c>
      <c r="E30" s="12" t="s">
        <v>8</v>
      </c>
      <c r="F30" s="13"/>
      <c r="G30" s="9">
        <f>ABS((D29-D30)/D30*100)</f>
        <v>2.5892419089791976E-2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6" t="s">
        <v>15</v>
      </c>
      <c r="C31" s="19">
        <v>4916</v>
      </c>
      <c r="D31" s="4">
        <v>282</v>
      </c>
      <c r="E31" s="5">
        <f>E3</f>
        <v>351</v>
      </c>
      <c r="F31" s="5">
        <f t="shared" ref="F31:F35" si="8">ABS(D31-E31)</f>
        <v>69</v>
      </c>
      <c r="G31" s="6">
        <f t="shared" ref="G31:G35" si="9">SIN(RADIANS((F31+60)/2))/SIN(RADIANS(30))</f>
        <v>1.8051705686997213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B32" s="17"/>
      <c r="C32" s="20"/>
      <c r="D32" s="4">
        <v>282</v>
      </c>
      <c r="E32" s="5">
        <f>E3</f>
        <v>351</v>
      </c>
      <c r="F32" s="5">
        <f t="shared" si="8"/>
        <v>69</v>
      </c>
      <c r="G32" s="6">
        <f t="shared" si="9"/>
        <v>1.8051705686997213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"/>
      <c r="B33" s="17"/>
      <c r="C33" s="20"/>
      <c r="D33" s="4">
        <v>282.33</v>
      </c>
      <c r="E33" s="5">
        <f>E3</f>
        <v>351</v>
      </c>
      <c r="F33" s="5">
        <f t="shared" si="8"/>
        <v>68.670000000000016</v>
      </c>
      <c r="G33" s="6">
        <f t="shared" si="9"/>
        <v>1.8026835208886474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17"/>
      <c r="C34" s="20"/>
      <c r="D34" s="4">
        <v>282</v>
      </c>
      <c r="E34" s="5">
        <f>E3</f>
        <v>351</v>
      </c>
      <c r="F34" s="5">
        <f t="shared" si="8"/>
        <v>69</v>
      </c>
      <c r="G34" s="6">
        <f t="shared" si="9"/>
        <v>1.8051705686997213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18"/>
      <c r="C35" s="21"/>
      <c r="D35" s="4">
        <v>282.33</v>
      </c>
      <c r="E35" s="5">
        <f>E3</f>
        <v>351</v>
      </c>
      <c r="F35" s="5">
        <f t="shared" si="8"/>
        <v>68.670000000000016</v>
      </c>
      <c r="G35" s="6">
        <f t="shared" si="9"/>
        <v>1.8026835208886474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14" t="s">
        <v>16</v>
      </c>
      <c r="C36" s="11"/>
      <c r="D36" s="7">
        <f>AVERAGE(G31:G35)</f>
        <v>1.8041757495752919</v>
      </c>
      <c r="E36" s="10" t="s">
        <v>6</v>
      </c>
      <c r="F36" s="11"/>
      <c r="G36" s="6">
        <f>_xlfn.STDEV.P(G31:G35)</f>
        <v>1.2183996206073721E-3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15" t="s">
        <v>7</v>
      </c>
      <c r="C37" s="13"/>
      <c r="D37" s="8">
        <f>SQRT(1+(1.73848403*0.4916^2)/(0.4916^2-0.01360686)+(0.311168974*0.4916^2)/(0.4916^2-0.061596046))+(1.17490871*0.4916^2)/(0.4916^2-121.922711)</f>
        <v>1.8031618546673747</v>
      </c>
      <c r="E37" s="12" t="s">
        <v>8</v>
      </c>
      <c r="F37" s="13"/>
      <c r="G37" s="9">
        <f>ABS((D36-D37)/D37*100)</f>
        <v>5.6228724298534337E-2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6" t="s">
        <v>17</v>
      </c>
      <c r="C38" s="19">
        <v>4358</v>
      </c>
      <c r="D38" s="4">
        <v>279.66000000000003</v>
      </c>
      <c r="E38" s="5">
        <f>E3</f>
        <v>351</v>
      </c>
      <c r="F38" s="5">
        <f t="shared" ref="F38:F42" si="10">ABS(D38-E38)</f>
        <v>71.339999999999975</v>
      </c>
      <c r="G38" s="6">
        <f t="shared" ref="G38:G42" si="11">SIN(RADIANS((F38+60)/2))/SIN(RADIANS(30))</f>
        <v>1.8223753665955902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17"/>
      <c r="C39" s="20"/>
      <c r="D39" s="4">
        <v>279.33</v>
      </c>
      <c r="E39" s="5">
        <f>E3</f>
        <v>351</v>
      </c>
      <c r="F39" s="5">
        <f t="shared" si="10"/>
        <v>71.670000000000016</v>
      </c>
      <c r="G39" s="6">
        <f t="shared" si="11"/>
        <v>1.8247407074134274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17"/>
      <c r="C40" s="20"/>
      <c r="D40" s="4">
        <v>279.66000000000003</v>
      </c>
      <c r="E40" s="5">
        <f>E3</f>
        <v>351</v>
      </c>
      <c r="F40" s="5">
        <f t="shared" si="10"/>
        <v>71.339999999999975</v>
      </c>
      <c r="G40" s="6">
        <f t="shared" si="11"/>
        <v>1.8223753665955902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17"/>
      <c r="C41" s="20"/>
      <c r="D41" s="4">
        <v>280</v>
      </c>
      <c r="E41" s="5">
        <f>E3</f>
        <v>351</v>
      </c>
      <c r="F41" s="5">
        <f t="shared" si="10"/>
        <v>71</v>
      </c>
      <c r="G41" s="6">
        <f t="shared" si="11"/>
        <v>1.8199225417530867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18"/>
      <c r="C42" s="21"/>
      <c r="D42" s="4">
        <v>279.66000000000003</v>
      </c>
      <c r="E42" s="5">
        <f>E3</f>
        <v>351</v>
      </c>
      <c r="F42" s="5">
        <f t="shared" si="10"/>
        <v>71.339999999999975</v>
      </c>
      <c r="G42" s="6">
        <f t="shared" si="11"/>
        <v>1.8223753665955902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14" t="s">
        <v>18</v>
      </c>
      <c r="C43" s="11"/>
      <c r="D43" s="7">
        <f>AVERAGE(G38:G42)</f>
        <v>1.8223578697906568</v>
      </c>
      <c r="E43" s="10" t="s">
        <v>6</v>
      </c>
      <c r="F43" s="11"/>
      <c r="G43" s="6">
        <f>_xlfn.STDEV.P(G38:G42)</f>
        <v>1.5237884499900265E-3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15" t="s">
        <v>7</v>
      </c>
      <c r="C44" s="13"/>
      <c r="D44" s="8">
        <f>SQRT(1+(1.73848403*0.4358^2)/(0.4358^2-0.01360686)+(0.311168974*0.4358^2)/(0.4358^2-0.061596046))+(1.17490871*0.4358^2)/(0.4358^2-121.922711)</f>
        <v>1.8238664841135974</v>
      </c>
      <c r="E44" s="12" t="s">
        <v>8</v>
      </c>
      <c r="F44" s="13"/>
      <c r="G44" s="9">
        <f>ABS((D43-D44)/D44*100)</f>
        <v>8.2715173291523683E-2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16" t="s">
        <v>19</v>
      </c>
      <c r="C45" s="19">
        <v>4078</v>
      </c>
      <c r="D45" s="4">
        <v>277.33</v>
      </c>
      <c r="E45" s="5">
        <f>E3</f>
        <v>351</v>
      </c>
      <c r="F45" s="5">
        <f t="shared" ref="F45:F49" si="12">ABS(D45-E45)</f>
        <v>73.670000000000016</v>
      </c>
      <c r="G45" s="6">
        <f t="shared" ref="G45:G49" si="13">SIN(RADIANS((F45+60)/2))/SIN(RADIANS(30))</f>
        <v>1.8387516263362453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17"/>
      <c r="C46" s="20"/>
      <c r="D46" s="4">
        <v>277.33</v>
      </c>
      <c r="E46" s="5">
        <f>E3</f>
        <v>351</v>
      </c>
      <c r="F46" s="5">
        <f t="shared" si="12"/>
        <v>73.670000000000016</v>
      </c>
      <c r="G46" s="6">
        <f t="shared" si="13"/>
        <v>1.8387516263362453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17"/>
      <c r="C47" s="20"/>
      <c r="D47" s="4">
        <v>277</v>
      </c>
      <c r="E47" s="5">
        <f>E3</f>
        <v>351</v>
      </c>
      <c r="F47" s="5">
        <f t="shared" si="12"/>
        <v>74</v>
      </c>
      <c r="G47" s="6">
        <f t="shared" si="13"/>
        <v>1.841009706904881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17"/>
      <c r="C48" s="20"/>
      <c r="D48" s="4">
        <v>277</v>
      </c>
      <c r="E48" s="5">
        <f>E3</f>
        <v>351</v>
      </c>
      <c r="F48" s="5">
        <f t="shared" si="12"/>
        <v>74</v>
      </c>
      <c r="G48" s="6">
        <f t="shared" si="13"/>
        <v>1.841009706904881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18"/>
      <c r="C49" s="21"/>
      <c r="D49" s="4">
        <v>277.33</v>
      </c>
      <c r="E49" s="5">
        <f>E3</f>
        <v>351</v>
      </c>
      <c r="F49" s="5">
        <f t="shared" si="12"/>
        <v>73.670000000000016</v>
      </c>
      <c r="G49" s="6">
        <f t="shared" si="13"/>
        <v>1.8387516263362453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14" t="s">
        <v>20</v>
      </c>
      <c r="C50" s="11"/>
      <c r="D50" s="7">
        <f>AVERAGE(G45:G49)</f>
        <v>1.8396548585636996</v>
      </c>
      <c r="E50" s="10" t="s">
        <v>6</v>
      </c>
      <c r="F50" s="11"/>
      <c r="G50" s="6">
        <f>_xlfn.STDEV.P(G45:G49)</f>
        <v>1.1062290382501984E-3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"/>
      <c r="B51" s="15" t="s">
        <v>7</v>
      </c>
      <c r="C51" s="13"/>
      <c r="D51" s="8">
        <f>SQRT(1+(1.73848403*0.4078^2)/(0.4078^2-0.01360686)+(0.311168974*0.4078^2)/(0.4078^2-0.061596046))+(1.17490871*0.4078^2)/(0.4078^2-121.922711)</f>
        <v>1.838946292143772</v>
      </c>
      <c r="E51" s="12" t="s">
        <v>8</v>
      </c>
      <c r="F51" s="13"/>
      <c r="G51" s="9">
        <f>ABS((D50-D51)/D51*100)</f>
        <v>3.8531110068556682E-2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"/>
      <c r="B52" s="16" t="s">
        <v>21</v>
      </c>
      <c r="C52" s="19">
        <v>4047</v>
      </c>
      <c r="D52" s="4">
        <v>277</v>
      </c>
      <c r="E52" s="5">
        <f>E3</f>
        <v>351</v>
      </c>
      <c r="F52" s="5">
        <f t="shared" ref="F52:F56" si="14">ABS(D52-E52)</f>
        <v>74</v>
      </c>
      <c r="G52" s="6">
        <f t="shared" ref="G52:G56" si="15">SIN(RADIANS((F52+60)/2))/SIN(RADIANS(30))</f>
        <v>1.841009706904881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"/>
      <c r="B53" s="17"/>
      <c r="C53" s="20"/>
      <c r="D53" s="4">
        <v>277</v>
      </c>
      <c r="E53" s="5">
        <f>E3</f>
        <v>351</v>
      </c>
      <c r="F53" s="5">
        <f t="shared" si="14"/>
        <v>74</v>
      </c>
      <c r="G53" s="6">
        <f t="shared" si="15"/>
        <v>1.841009706904881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1"/>
      <c r="B54" s="17"/>
      <c r="C54" s="20"/>
      <c r="D54" s="4">
        <v>277</v>
      </c>
      <c r="E54" s="5">
        <f>E3</f>
        <v>351</v>
      </c>
      <c r="F54" s="5">
        <f t="shared" si="14"/>
        <v>74</v>
      </c>
      <c r="G54" s="6">
        <f t="shared" si="15"/>
        <v>1.841009706904881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1"/>
      <c r="B55" s="17"/>
      <c r="C55" s="20"/>
      <c r="D55" s="4">
        <v>277</v>
      </c>
      <c r="E55" s="5">
        <f>E3</f>
        <v>351</v>
      </c>
      <c r="F55" s="5">
        <f t="shared" si="14"/>
        <v>74</v>
      </c>
      <c r="G55" s="6">
        <f t="shared" si="15"/>
        <v>1.841009706904881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"/>
      <c r="B56" s="18"/>
      <c r="C56" s="21"/>
      <c r="D56" s="4">
        <v>277</v>
      </c>
      <c r="E56" s="5">
        <f>E3</f>
        <v>351</v>
      </c>
      <c r="F56" s="5">
        <f t="shared" si="14"/>
        <v>74</v>
      </c>
      <c r="G56" s="6">
        <f t="shared" si="15"/>
        <v>1.841009706904881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1"/>
      <c r="B57" s="14" t="s">
        <v>22</v>
      </c>
      <c r="C57" s="11"/>
      <c r="D57" s="7">
        <f>AVERAGE(G52:G56)</f>
        <v>1.841009706904881</v>
      </c>
      <c r="E57" s="10" t="s">
        <v>6</v>
      </c>
      <c r="F57" s="11"/>
      <c r="G57" s="6">
        <f>_xlfn.STDEV.P(G52:G56)</f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"/>
      <c r="B58" s="15" t="s">
        <v>7</v>
      </c>
      <c r="C58" s="13"/>
      <c r="D58" s="8">
        <f>SQRT(1+(1.73848403*0.4047^2)/(0.4047^2-0.01360686)+(0.311168974*0.4047^2)/(0.4047^2-0.061596046))+(1.17490871*0.4047^2)/(0.4047^2-121.922711)</f>
        <v>1.8409012120741861</v>
      </c>
      <c r="E58" s="12" t="s">
        <v>8</v>
      </c>
      <c r="F58" s="13"/>
      <c r="G58" s="9">
        <f>ABS((D57-D58)/D58*100)</f>
        <v>5.8935715823999662E-3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9">
    <mergeCell ref="B2:C2"/>
    <mergeCell ref="B3:B7"/>
    <mergeCell ref="C3:C7"/>
    <mergeCell ref="B8:C8"/>
    <mergeCell ref="E8:F8"/>
    <mergeCell ref="B9:C9"/>
    <mergeCell ref="E9:F9"/>
    <mergeCell ref="B10:B14"/>
    <mergeCell ref="C10:C14"/>
    <mergeCell ref="B15:C15"/>
    <mergeCell ref="E15:F15"/>
    <mergeCell ref="B16:C16"/>
    <mergeCell ref="E16:F16"/>
    <mergeCell ref="B17:B21"/>
    <mergeCell ref="C17:C21"/>
    <mergeCell ref="B22:C22"/>
    <mergeCell ref="E22:F22"/>
    <mergeCell ref="B23:C23"/>
    <mergeCell ref="B24:B28"/>
    <mergeCell ref="C24:C28"/>
    <mergeCell ref="B29:C29"/>
    <mergeCell ref="B30:C30"/>
    <mergeCell ref="B57:C57"/>
    <mergeCell ref="B58:C58"/>
    <mergeCell ref="B31:B35"/>
    <mergeCell ref="C31:C35"/>
    <mergeCell ref="B36:C36"/>
    <mergeCell ref="B37:C37"/>
    <mergeCell ref="C38:C42"/>
    <mergeCell ref="B43:C43"/>
    <mergeCell ref="B44:C44"/>
    <mergeCell ref="B38:B42"/>
    <mergeCell ref="B45:B49"/>
    <mergeCell ref="B52:B56"/>
    <mergeCell ref="C45:C49"/>
    <mergeCell ref="B50:C50"/>
    <mergeCell ref="B51:C51"/>
    <mergeCell ref="C52:C56"/>
    <mergeCell ref="E44:F44"/>
    <mergeCell ref="E50:F50"/>
    <mergeCell ref="E51:F51"/>
    <mergeCell ref="E57:F57"/>
    <mergeCell ref="E58:F58"/>
    <mergeCell ref="E43:F43"/>
    <mergeCell ref="E23:F23"/>
    <mergeCell ref="E29:F29"/>
    <mergeCell ref="E30:F30"/>
    <mergeCell ref="E36:F36"/>
    <mergeCell ref="E37:F37"/>
  </mergeCells>
  <phoneticPr fontId="4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楊善筑</dc:creator>
  <cp:lastModifiedBy>王翊權</cp:lastModifiedBy>
  <dcterms:created xsi:type="dcterms:W3CDTF">2024-04-28T07:36:08Z</dcterms:created>
  <dcterms:modified xsi:type="dcterms:W3CDTF">2026-05-17T20:25:13Z</dcterms:modified>
</cp:coreProperties>
</file>