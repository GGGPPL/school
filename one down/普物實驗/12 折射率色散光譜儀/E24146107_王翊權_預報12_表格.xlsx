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VKK62I0HCP/p7sR/YzkD5d4dYdZonLCx05nDFx+uDps="/>
    </ext>
  </extLst>
</workbook>
</file>

<file path=xl/sharedStrings.xml><?xml version="1.0" encoding="utf-8"?>
<sst xmlns="http://schemas.openxmlformats.org/spreadsheetml/2006/main" count="45" uniqueCount="24">
  <si>
    <r>
      <rPr>
        <rFont val="DFKai-SB"/>
        <color theme="1"/>
        <sz val="12.0"/>
      </rPr>
      <t>波長 λ (</t>
    </r>
    <r>
      <rPr>
        <rFont val="Arial"/>
        <color theme="1"/>
        <sz val="12.0"/>
      </rPr>
      <t>Å)</t>
    </r>
  </si>
  <si>
    <r>
      <rPr>
        <rFont val="DFKai-SB"/>
        <color theme="1"/>
        <sz val="12.0"/>
      </rPr>
      <t>d</t>
    </r>
    <r>
      <rPr>
        <rFont val="Arial"/>
        <color theme="1"/>
        <sz val="12.0"/>
      </rPr>
      <t>1(°)</t>
    </r>
  </si>
  <si>
    <r>
      <rPr>
        <rFont val="DFKai-SB"/>
        <color theme="1"/>
        <sz val="12.0"/>
      </rPr>
      <t>d</t>
    </r>
    <r>
      <rPr>
        <rFont val="Arial"/>
        <color theme="1"/>
        <sz val="12.0"/>
      </rPr>
      <t>2(°)</t>
    </r>
  </si>
  <si>
    <t>D(°)</t>
  </si>
  <si>
    <t>n</t>
  </si>
  <si>
    <t>編號 1</t>
  </si>
  <si>
    <t>N (6908) =</t>
  </si>
  <si>
    <t>標準差 =</t>
  </si>
  <si>
    <t>理論值 =</t>
  </si>
  <si>
    <t>誤差(%) =</t>
  </si>
  <si>
    <t>編號 2</t>
  </si>
  <si>
    <t>N (6234) =</t>
  </si>
  <si>
    <t>編號 3</t>
  </si>
  <si>
    <t>N (5791) =</t>
  </si>
  <si>
    <t>編號 4</t>
  </si>
  <si>
    <t>N (5461) =</t>
  </si>
  <si>
    <t>編號 5</t>
  </si>
  <si>
    <t>N (4916) =</t>
  </si>
  <si>
    <t>編號 6</t>
  </si>
  <si>
    <t>N (4358) =</t>
  </si>
  <si>
    <t>編號 7</t>
  </si>
  <si>
    <t>N (4078) =</t>
  </si>
  <si>
    <t>編號 8</t>
  </si>
  <si>
    <t>N (4047)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</si>
</sst>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2.0"/>
      <color theme="1"/>
      <name val="Aptos Narrow"/>
      <scheme val="minor"/>
    </font>
    <font>
      <sz val="12.0"/>
      <color theme="1"/>
      <name val="DFKai-SB"/>
    </font>
    <font/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21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2" fontId="1" numFmtId="2" xfId="0" applyAlignment="1" applyBorder="1" applyFill="1" applyFont="1" applyNumberFormat="1">
      <alignment horizontal="center" vertical="center"/>
    </xf>
    <xf borderId="7" fillId="0" fontId="1" numFmtId="2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7" fillId="0" fontId="1" numFmtId="16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18" fillId="0" fontId="1" numFmtId="164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7.5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2" t="s">
        <v>0</v>
      </c>
      <c r="C2" s="3"/>
      <c r="D2" s="4" t="s">
        <v>1</v>
      </c>
      <c r="E2" s="4" t="s">
        <v>2</v>
      </c>
      <c r="F2" s="5" t="s">
        <v>3</v>
      </c>
      <c r="G2" s="6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7" t="s">
        <v>5</v>
      </c>
      <c r="C3" s="8">
        <v>6908.0</v>
      </c>
      <c r="D3" s="9"/>
      <c r="E3" s="9"/>
      <c r="F3" s="10">
        <f t="shared" ref="F3:F7" si="1">ABS(D3-E3)</f>
        <v>0</v>
      </c>
      <c r="G3" s="11">
        <f t="shared" ref="G3:G7" si="2">SIN(RADIANS((F3+60)/2))/SIN(RADIANS(30))</f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2"/>
      <c r="C4" s="13"/>
      <c r="D4" s="9"/>
      <c r="E4" s="10" t="str">
        <f> E3</f>
        <v/>
      </c>
      <c r="F4" s="10">
        <f t="shared" si="1"/>
        <v>0</v>
      </c>
      <c r="G4" s="11">
        <f t="shared" si="2"/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2"/>
      <c r="C5" s="13"/>
      <c r="D5" s="9"/>
      <c r="E5" s="10" t="str">
        <f> E3</f>
        <v/>
      </c>
      <c r="F5" s="10">
        <f t="shared" si="1"/>
        <v>0</v>
      </c>
      <c r="G5" s="11">
        <f t="shared" si="2"/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2"/>
      <c r="C6" s="13"/>
      <c r="D6" s="9"/>
      <c r="E6" s="10" t="str">
        <f> E3</f>
        <v/>
      </c>
      <c r="F6" s="10">
        <f t="shared" si="1"/>
        <v>0</v>
      </c>
      <c r="G6" s="11">
        <f t="shared" si="2"/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4"/>
      <c r="C7" s="15"/>
      <c r="D7" s="9"/>
      <c r="E7" s="10" t="str">
        <f> E3</f>
        <v/>
      </c>
      <c r="F7" s="10">
        <f t="shared" si="1"/>
        <v>0</v>
      </c>
      <c r="G7" s="11">
        <f t="shared" si="2"/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6" t="s">
        <v>6</v>
      </c>
      <c r="C8" s="17"/>
      <c r="D8" s="18">
        <f> AVERAGE(G3:G7)</f>
        <v>1</v>
      </c>
      <c r="E8" s="19" t="s">
        <v>7</v>
      </c>
      <c r="F8" s="17"/>
      <c r="G8" s="11">
        <f> _xlfn.STDEV.P(G3:G7)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20" t="s">
        <v>8</v>
      </c>
      <c r="C9" s="21"/>
      <c r="D9" s="22">
        <f>SQRT(1+(1.73848403*0.6908^2)/(0.6908^2-0.01360686)+(0.311168974*0.6908^2)/(0.6908^2-0.061596046))+(1.17490871*0.6908^2)/(0.6908^2-121.922711)</f>
        <v>1.769304393</v>
      </c>
      <c r="E9" s="23" t="s">
        <v>9</v>
      </c>
      <c r="F9" s="21"/>
      <c r="G9" s="24">
        <f> ABS((D8-D9)/D9*100)</f>
        <v>43.48061284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7" t="s">
        <v>10</v>
      </c>
      <c r="C10" s="8">
        <v>6234.0</v>
      </c>
      <c r="D10" s="9"/>
      <c r="E10" s="10" t="str">
        <f> E3</f>
        <v/>
      </c>
      <c r="F10" s="10">
        <f t="shared" ref="F10:F14" si="3">ABS(D10-E10)</f>
        <v>0</v>
      </c>
      <c r="G10" s="11">
        <f t="shared" ref="G10:G14" si="4">SIN(RADIANS((F10+60)/2))/SIN(RADIANS(30))</f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2"/>
      <c r="C11" s="13"/>
      <c r="D11" s="9"/>
      <c r="E11" s="10" t="str">
        <f> E3</f>
        <v/>
      </c>
      <c r="F11" s="10">
        <f t="shared" si="3"/>
        <v>0</v>
      </c>
      <c r="G11" s="11">
        <f t="shared" si="4"/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2"/>
      <c r="C12" s="13"/>
      <c r="D12" s="9"/>
      <c r="E12" s="10" t="str">
        <f> E3</f>
        <v/>
      </c>
      <c r="F12" s="10">
        <f t="shared" si="3"/>
        <v>0</v>
      </c>
      <c r="G12" s="11">
        <f t="shared" si="4"/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2"/>
      <c r="C13" s="13"/>
      <c r="D13" s="9"/>
      <c r="E13" s="10" t="str">
        <f> E3</f>
        <v/>
      </c>
      <c r="F13" s="10">
        <f t="shared" si="3"/>
        <v>0</v>
      </c>
      <c r="G13" s="11">
        <f t="shared" si="4"/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4"/>
      <c r="C14" s="15"/>
      <c r="D14" s="9"/>
      <c r="E14" s="10" t="str">
        <f> E3</f>
        <v/>
      </c>
      <c r="F14" s="10">
        <f t="shared" si="3"/>
        <v>0</v>
      </c>
      <c r="G14" s="11">
        <f t="shared" si="4"/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6" t="s">
        <v>11</v>
      </c>
      <c r="C15" s="17"/>
      <c r="D15" s="18">
        <f> AVERAGE(G10:G14)</f>
        <v>1</v>
      </c>
      <c r="E15" s="19" t="s">
        <v>7</v>
      </c>
      <c r="F15" s="17"/>
      <c r="G15" s="11">
        <f> _xlfn.STDEV.P(G10:G14)</f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20" t="s">
        <v>8</v>
      </c>
      <c r="C16" s="21"/>
      <c r="D16" s="22">
        <f>SQRT(1+(1.73848403*0.6234^2)/(0.6234^2-0.01360686)+(0.311168974*0.6234^2)/(0.6234^2-0.061596046))+(1.17490871*0.6234^2)/(0.6234^2-121.922711)</f>
        <v>1.777068299</v>
      </c>
      <c r="E16" s="23" t="s">
        <v>9</v>
      </c>
      <c r="F16" s="21"/>
      <c r="G16" s="24">
        <f> ABS((D15-D16)/D16*100)</f>
        <v>43.7275427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7" t="s">
        <v>12</v>
      </c>
      <c r="C17" s="8">
        <v>5791.0</v>
      </c>
      <c r="D17" s="9"/>
      <c r="E17" s="10" t="str">
        <f> E3</f>
        <v/>
      </c>
      <c r="F17" s="10">
        <f t="shared" ref="F17:F21" si="5">ABS(D17-E17)</f>
        <v>0</v>
      </c>
      <c r="G17" s="11">
        <f t="shared" ref="G17:G21" si="6">SIN(RADIANS((F17+60)/2))/SIN(RADIANS(30))</f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2"/>
      <c r="C18" s="13"/>
      <c r="D18" s="9"/>
      <c r="E18" s="10" t="str">
        <f> E3</f>
        <v/>
      </c>
      <c r="F18" s="10">
        <f t="shared" si="5"/>
        <v>0</v>
      </c>
      <c r="G18" s="11">
        <f t="shared" si="6"/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2"/>
      <c r="C19" s="13"/>
      <c r="D19" s="9"/>
      <c r="E19" s="10" t="str">
        <f> E3</f>
        <v/>
      </c>
      <c r="F19" s="10">
        <f t="shared" si="5"/>
        <v>0</v>
      </c>
      <c r="G19" s="11">
        <f t="shared" si="6"/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2"/>
      <c r="C20" s="13"/>
      <c r="D20" s="9"/>
      <c r="E20" s="10" t="str">
        <f> E3</f>
        <v/>
      </c>
      <c r="F20" s="10">
        <f t="shared" si="5"/>
        <v>0</v>
      </c>
      <c r="G20" s="11">
        <f t="shared" si="6"/>
        <v>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4"/>
      <c r="C21" s="15"/>
      <c r="D21" s="9"/>
      <c r="E21" s="10" t="str">
        <f> E3</f>
        <v/>
      </c>
      <c r="F21" s="10">
        <f t="shared" si="5"/>
        <v>0</v>
      </c>
      <c r="G21" s="11">
        <f t="shared" si="6"/>
        <v>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6" t="s">
        <v>13</v>
      </c>
      <c r="C22" s="17"/>
      <c r="D22" s="18">
        <f> AVERAGE(G17:G21)</f>
        <v>1</v>
      </c>
      <c r="E22" s="19" t="s">
        <v>7</v>
      </c>
      <c r="F22" s="17"/>
      <c r="G22" s="11">
        <f> _xlfn.STDEV.P(G17:G21)</f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20" t="s">
        <v>8</v>
      </c>
      <c r="C23" s="21"/>
      <c r="D23" s="22">
        <f>SQRT(1+(1.73848403*0.5791^2)/(0.5791^2-0.01360686)+(0.311168974*0.5791^2)/(0.5791^2-0.061596046))+(1.17490871*0.5791^2)/(0.5791^2-121.922711)</f>
        <v>1.783708401</v>
      </c>
      <c r="E23" s="23" t="s">
        <v>9</v>
      </c>
      <c r="F23" s="21"/>
      <c r="G23" s="24">
        <f> ABS((D22-D23)/D23*100)</f>
        <v>43.93702473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7" t="s">
        <v>14</v>
      </c>
      <c r="C24" s="8">
        <v>5461.0</v>
      </c>
      <c r="D24" s="9"/>
      <c r="E24" s="10" t="str">
        <f> E3</f>
        <v/>
      </c>
      <c r="F24" s="10">
        <f t="shared" ref="F24:F28" si="7">ABS(D24-E24)</f>
        <v>0</v>
      </c>
      <c r="G24" s="11">
        <f t="shared" ref="G24:G28" si="8">SIN(RADIANS((F24+60)/2))/SIN(RADIANS(30))</f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2"/>
      <c r="C25" s="13"/>
      <c r="D25" s="9"/>
      <c r="E25" s="10" t="str">
        <f> E3</f>
        <v/>
      </c>
      <c r="F25" s="10">
        <f t="shared" si="7"/>
        <v>0</v>
      </c>
      <c r="G25" s="11">
        <f t="shared" si="8"/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2"/>
      <c r="C26" s="13"/>
      <c r="D26" s="9"/>
      <c r="E26" s="10" t="str">
        <f> E3</f>
        <v/>
      </c>
      <c r="F26" s="10">
        <f t="shared" si="7"/>
        <v>0</v>
      </c>
      <c r="G26" s="11">
        <f t="shared" si="8"/>
        <v>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2"/>
      <c r="C27" s="13"/>
      <c r="D27" s="9"/>
      <c r="E27" s="10" t="str">
        <f> E3</f>
        <v/>
      </c>
      <c r="F27" s="10">
        <f t="shared" si="7"/>
        <v>0</v>
      </c>
      <c r="G27" s="11">
        <f t="shared" si="8"/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4"/>
      <c r="C28" s="15"/>
      <c r="D28" s="9"/>
      <c r="E28" s="10" t="str">
        <f> E3</f>
        <v/>
      </c>
      <c r="F28" s="10">
        <f t="shared" si="7"/>
        <v>0</v>
      </c>
      <c r="G28" s="11">
        <f t="shared" si="8"/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6" t="s">
        <v>15</v>
      </c>
      <c r="C29" s="17"/>
      <c r="D29" s="18">
        <f> AVERAGE(G24:G28)</f>
        <v>1</v>
      </c>
      <c r="E29" s="19" t="s">
        <v>7</v>
      </c>
      <c r="F29" s="17"/>
      <c r="G29" s="11">
        <f> _xlfn.STDEV.P(G24:G28)</f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20" t="s">
        <v>8</v>
      </c>
      <c r="C30" s="21"/>
      <c r="D30" s="22">
        <f>SQRT(1+(1.73848403*0.5461^2)/(0.5461^2-0.01360686)+(0.311168974*0.5461^2)/(0.5461^2-0.061596046))+(1.17490871*0.5461^2)/(0.5461^2-121.922711)</f>
        <v>1.789816683</v>
      </c>
      <c r="E30" s="23" t="s">
        <v>9</v>
      </c>
      <c r="F30" s="21"/>
      <c r="G30" s="24">
        <f> ABS((D29-D30)/D30*100)</f>
        <v>44.12835631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7" t="s">
        <v>16</v>
      </c>
      <c r="C31" s="8">
        <v>4916.0</v>
      </c>
      <c r="D31" s="9"/>
      <c r="E31" s="10" t="str">
        <f> E3</f>
        <v/>
      </c>
      <c r="F31" s="10">
        <f t="shared" ref="F31:F35" si="9">ABS(D31-E31)</f>
        <v>0</v>
      </c>
      <c r="G31" s="11">
        <f t="shared" ref="G31:G35" si="10">SIN(RADIANS((F31+60)/2))/SIN(RADIANS(30))</f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2"/>
      <c r="C32" s="13"/>
      <c r="D32" s="9"/>
      <c r="E32" s="10" t="str">
        <f> E3</f>
        <v/>
      </c>
      <c r="F32" s="10">
        <f t="shared" si="9"/>
        <v>0</v>
      </c>
      <c r="G32" s="11">
        <f t="shared" si="10"/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2"/>
      <c r="C33" s="13"/>
      <c r="D33" s="9"/>
      <c r="E33" s="10" t="str">
        <f> E3</f>
        <v/>
      </c>
      <c r="F33" s="10">
        <f t="shared" si="9"/>
        <v>0</v>
      </c>
      <c r="G33" s="11">
        <f t="shared" si="10"/>
        <v>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2"/>
      <c r="C34" s="13"/>
      <c r="D34" s="9"/>
      <c r="E34" s="10" t="str">
        <f> E3</f>
        <v/>
      </c>
      <c r="F34" s="10">
        <f t="shared" si="9"/>
        <v>0</v>
      </c>
      <c r="G34" s="11">
        <f t="shared" si="10"/>
        <v>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4"/>
      <c r="C35" s="15"/>
      <c r="D35" s="9"/>
      <c r="E35" s="10" t="str">
        <f> E3</f>
        <v/>
      </c>
      <c r="F35" s="10">
        <f t="shared" si="9"/>
        <v>0</v>
      </c>
      <c r="G35" s="11">
        <f t="shared" si="10"/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6" t="s">
        <v>17</v>
      </c>
      <c r="C36" s="17"/>
      <c r="D36" s="18">
        <f> AVERAGE(G31:G35)</f>
        <v>1</v>
      </c>
      <c r="E36" s="19" t="s">
        <v>7</v>
      </c>
      <c r="F36" s="17"/>
      <c r="G36" s="11">
        <f> _xlfn.STDEV.P(G31:G35)</f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20" t="s">
        <v>8</v>
      </c>
      <c r="C37" s="21"/>
      <c r="D37" s="22">
        <f>SQRT(1+(1.73848403*0.4916^2)/(0.4916^2-0.01360686)+(0.311168974*0.4916^2)/(0.4916^2-0.061596046))+(1.17490871*0.4916^2)/(0.4916^2-121.922711)</f>
        <v>1.803161855</v>
      </c>
      <c r="E37" s="23" t="s">
        <v>9</v>
      </c>
      <c r="F37" s="21"/>
      <c r="G37" s="24">
        <f> ABS((D36-D37)/D37*100)</f>
        <v>44.54186143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7" t="s">
        <v>18</v>
      </c>
      <c r="C38" s="8">
        <v>4358.0</v>
      </c>
      <c r="D38" s="9"/>
      <c r="E38" s="10" t="str">
        <f> E3</f>
        <v/>
      </c>
      <c r="F38" s="10">
        <f t="shared" ref="F38:F42" si="11">ABS(D38-E38)</f>
        <v>0</v>
      </c>
      <c r="G38" s="11">
        <f t="shared" ref="G38:G42" si="12">SIN(RADIANS((F38+60)/2))/SIN(RADIANS(30))</f>
        <v>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2"/>
      <c r="C39" s="13"/>
      <c r="D39" s="9"/>
      <c r="E39" s="10" t="str">
        <f> E3</f>
        <v/>
      </c>
      <c r="F39" s="10">
        <f t="shared" si="11"/>
        <v>0</v>
      </c>
      <c r="G39" s="11">
        <f t="shared" si="12"/>
        <v>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2"/>
      <c r="C40" s="13"/>
      <c r="D40" s="9"/>
      <c r="E40" s="10" t="str">
        <f> E3</f>
        <v/>
      </c>
      <c r="F40" s="10">
        <f t="shared" si="11"/>
        <v>0</v>
      </c>
      <c r="G40" s="11">
        <f t="shared" si="12"/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2"/>
      <c r="C41" s="13"/>
      <c r="D41" s="9"/>
      <c r="E41" s="10" t="str">
        <f> E3</f>
        <v/>
      </c>
      <c r="F41" s="10">
        <f t="shared" si="11"/>
        <v>0</v>
      </c>
      <c r="G41" s="11">
        <f t="shared" si="12"/>
        <v>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4"/>
      <c r="C42" s="15"/>
      <c r="D42" s="9"/>
      <c r="E42" s="10" t="str">
        <f> E3</f>
        <v/>
      </c>
      <c r="F42" s="10">
        <f t="shared" si="11"/>
        <v>0</v>
      </c>
      <c r="G42" s="11">
        <f t="shared" si="12"/>
        <v>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6" t="s">
        <v>19</v>
      </c>
      <c r="C43" s="17"/>
      <c r="D43" s="18">
        <f> AVERAGE(G38:G42)</f>
        <v>1</v>
      </c>
      <c r="E43" s="19" t="s">
        <v>7</v>
      </c>
      <c r="F43" s="17"/>
      <c r="G43" s="11">
        <f> _xlfn.STDEV.P(G38:G42)</f>
        <v>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20" t="s">
        <v>8</v>
      </c>
      <c r="C44" s="21"/>
      <c r="D44" s="22">
        <f>SQRT(1+(1.73848403*0.4358^2)/(0.4358^2-0.01360686)+(0.311168974*0.4358^2)/(0.4358^2-0.061596046))+(1.17490871*0.4358^2)/(0.4358^2-121.922711)</f>
        <v>1.823866484</v>
      </c>
      <c r="E44" s="23" t="s">
        <v>9</v>
      </c>
      <c r="F44" s="21"/>
      <c r="G44" s="24">
        <f> ABS((D43-D44)/D44*100)</f>
        <v>45.17142517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7" t="s">
        <v>20</v>
      </c>
      <c r="C45" s="8">
        <v>4078.0</v>
      </c>
      <c r="D45" s="9"/>
      <c r="E45" s="10" t="str">
        <f> E3</f>
        <v/>
      </c>
      <c r="F45" s="10">
        <f t="shared" ref="F45:F49" si="13">ABS(D45-E45)</f>
        <v>0</v>
      </c>
      <c r="G45" s="11">
        <f t="shared" ref="G45:G49" si="14">SIN(RADIANS((F45+60)/2))/SIN(RADIANS(30))</f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2"/>
      <c r="C46" s="13"/>
      <c r="D46" s="9"/>
      <c r="E46" s="10" t="str">
        <f> E3</f>
        <v/>
      </c>
      <c r="F46" s="10">
        <f t="shared" si="13"/>
        <v>0</v>
      </c>
      <c r="G46" s="11">
        <f t="shared" si="14"/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2"/>
      <c r="C47" s="13"/>
      <c r="D47" s="9"/>
      <c r="E47" s="10" t="str">
        <f> E3</f>
        <v/>
      </c>
      <c r="F47" s="10">
        <f t="shared" si="13"/>
        <v>0</v>
      </c>
      <c r="G47" s="11">
        <f t="shared" si="14"/>
        <v>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2"/>
      <c r="C48" s="13"/>
      <c r="D48" s="9"/>
      <c r="E48" s="10" t="str">
        <f> E3</f>
        <v/>
      </c>
      <c r="F48" s="10">
        <f t="shared" si="13"/>
        <v>0</v>
      </c>
      <c r="G48" s="11">
        <f t="shared" si="14"/>
        <v>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4"/>
      <c r="C49" s="15"/>
      <c r="D49" s="9"/>
      <c r="E49" s="10" t="str">
        <f> E3</f>
        <v/>
      </c>
      <c r="F49" s="10">
        <f t="shared" si="13"/>
        <v>0</v>
      </c>
      <c r="G49" s="11">
        <f t="shared" si="14"/>
        <v>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6" t="s">
        <v>21</v>
      </c>
      <c r="C50" s="17"/>
      <c r="D50" s="18">
        <f> AVERAGE(G45:G49)</f>
        <v>1</v>
      </c>
      <c r="E50" s="19" t="s">
        <v>7</v>
      </c>
      <c r="F50" s="17"/>
      <c r="G50" s="11">
        <f> _xlfn.STDEV.P(G45:G49)</f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20" t="s">
        <v>8</v>
      </c>
      <c r="C51" s="21"/>
      <c r="D51" s="22">
        <f>SQRT(1+(1.73848403*0.4078^2)/(0.4078^2-0.01360686)+(0.311168974*0.4078^2)/(0.4078^2-0.061596046))+(1.17490871*0.4078^2)/(0.4078^2-121.922711)</f>
        <v>1.838946292</v>
      </c>
      <c r="E51" s="23" t="s">
        <v>9</v>
      </c>
      <c r="F51" s="21"/>
      <c r="G51" s="24">
        <f> ABS((D50-D51)/D51*100)</f>
        <v>45.62103286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7" t="s">
        <v>22</v>
      </c>
      <c r="C52" s="8">
        <v>4047.0</v>
      </c>
      <c r="D52" s="9"/>
      <c r="E52" s="10" t="str">
        <f> E3</f>
        <v/>
      </c>
      <c r="F52" s="10">
        <f t="shared" ref="F52:F56" si="15">ABS(D52-E52)</f>
        <v>0</v>
      </c>
      <c r="G52" s="11">
        <f t="shared" ref="G52:G56" si="16">SIN(RADIANS((F52+60)/2))/SIN(RADIANS(30))</f>
        <v>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2"/>
      <c r="C53" s="13"/>
      <c r="D53" s="9"/>
      <c r="E53" s="10" t="str">
        <f> E3</f>
        <v/>
      </c>
      <c r="F53" s="10">
        <f t="shared" si="15"/>
        <v>0</v>
      </c>
      <c r="G53" s="11">
        <f t="shared" si="16"/>
        <v>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2"/>
      <c r="C54" s="13"/>
      <c r="D54" s="9"/>
      <c r="E54" s="10" t="str">
        <f> E3</f>
        <v/>
      </c>
      <c r="F54" s="10">
        <f t="shared" si="15"/>
        <v>0</v>
      </c>
      <c r="G54" s="11">
        <f t="shared" si="16"/>
        <v>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2"/>
      <c r="C55" s="13"/>
      <c r="D55" s="9"/>
      <c r="E55" s="10" t="str">
        <f> E3</f>
        <v/>
      </c>
      <c r="F55" s="10">
        <f t="shared" si="15"/>
        <v>0</v>
      </c>
      <c r="G55" s="11">
        <f t="shared" si="16"/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4"/>
      <c r="C56" s="15"/>
      <c r="D56" s="9"/>
      <c r="E56" s="10" t="str">
        <f> E3</f>
        <v/>
      </c>
      <c r="F56" s="10">
        <f t="shared" si="15"/>
        <v>0</v>
      </c>
      <c r="G56" s="11">
        <f t="shared" si="16"/>
        <v>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6" t="s">
        <v>23</v>
      </c>
      <c r="C57" s="17"/>
      <c r="D57" s="18">
        <f> AVERAGE(G52:G56)</f>
        <v>1</v>
      </c>
      <c r="E57" s="19" t="s">
        <v>7</v>
      </c>
      <c r="F57" s="17"/>
      <c r="G57" s="11">
        <f> _xlfn.STDEV.P(G52:G56)</f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20" t="s">
        <v>8</v>
      </c>
      <c r="C58" s="21"/>
      <c r="D58" s="22">
        <f>SQRT(1+(1.73848403*0.4047^2)/(0.4047^2-0.01360686)+(0.311168974*0.4047^2)/(0.4047^2-0.061596046))+(1.17490871*0.4047^2)/(0.4047^2-121.922711)</f>
        <v>1.840901212</v>
      </c>
      <c r="E58" s="23" t="s">
        <v>9</v>
      </c>
      <c r="F58" s="21"/>
      <c r="G58" s="24">
        <f> ABS((D57-D58)/D58*100)</f>
        <v>45.67877986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9">
    <mergeCell ref="B2:C2"/>
    <mergeCell ref="B3:B7"/>
    <mergeCell ref="C3:C7"/>
    <mergeCell ref="B8:C8"/>
    <mergeCell ref="E8:F8"/>
    <mergeCell ref="B9:C9"/>
    <mergeCell ref="E9:F9"/>
    <mergeCell ref="B10:B14"/>
    <mergeCell ref="C10:C14"/>
    <mergeCell ref="B15:C15"/>
    <mergeCell ref="E15:F15"/>
    <mergeCell ref="B16:C16"/>
    <mergeCell ref="E16:F16"/>
    <mergeCell ref="B17:B21"/>
    <mergeCell ref="C17:C21"/>
    <mergeCell ref="B22:C22"/>
    <mergeCell ref="B23:C23"/>
    <mergeCell ref="B24:B28"/>
    <mergeCell ref="C24:C28"/>
    <mergeCell ref="B29:C29"/>
    <mergeCell ref="B30:C30"/>
    <mergeCell ref="B38:B42"/>
    <mergeCell ref="B45:B49"/>
    <mergeCell ref="B52:B56"/>
    <mergeCell ref="C45:C49"/>
    <mergeCell ref="B50:C50"/>
    <mergeCell ref="B51:C51"/>
    <mergeCell ref="C52:C56"/>
    <mergeCell ref="B57:C57"/>
    <mergeCell ref="B58:C58"/>
    <mergeCell ref="B31:B35"/>
    <mergeCell ref="C31:C35"/>
    <mergeCell ref="B36:C36"/>
    <mergeCell ref="B37:C37"/>
    <mergeCell ref="C38:C42"/>
    <mergeCell ref="B43:C43"/>
    <mergeCell ref="B44:C44"/>
    <mergeCell ref="E44:F44"/>
    <mergeCell ref="E50:F50"/>
    <mergeCell ref="E51:F51"/>
    <mergeCell ref="E57:F57"/>
    <mergeCell ref="E58:F58"/>
    <mergeCell ref="E22:F22"/>
    <mergeCell ref="E23:F23"/>
    <mergeCell ref="E29:F29"/>
    <mergeCell ref="E30:F30"/>
    <mergeCell ref="E36:F36"/>
    <mergeCell ref="E37:F37"/>
    <mergeCell ref="E43:F4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2024-04-28T07:36:08Z</dcterms:created>
  <dc:creator>楊善筑</dc:creator>
</cp:coreProperties>
</file>