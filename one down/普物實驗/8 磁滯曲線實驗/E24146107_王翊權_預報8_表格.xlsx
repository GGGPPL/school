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hool\one down\普物實驗\8 磁滯曲線實驗\"/>
    </mc:Choice>
  </mc:AlternateContent>
  <xr:revisionPtr revIDLastSave="0" documentId="13_ncr:1_{9E2210DC-4931-4313-AF35-4CE44AE6AD2F}" xr6:coauthVersionLast="47" xr6:coauthVersionMax="47" xr10:uidLastSave="{00000000-0000-0000-0000-000000000000}"/>
  <bookViews>
    <workbookView xWindow="-108" yWindow="-108" windowWidth="30936" windowHeight="16776" xr2:uid="{DB1FF5BB-3E16-44F6-8EBE-091011F52E7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4" i="1" l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4" i="1"/>
</calcChain>
</file>

<file path=xl/sharedStrings.xml><?xml version="1.0" encoding="utf-8"?>
<sst xmlns="http://schemas.openxmlformats.org/spreadsheetml/2006/main" count="30" uniqueCount="19">
  <si>
    <t>A：0.05~3A</t>
  </si>
  <si>
    <t>B：3~0A</t>
  </si>
  <si>
    <t>C：-0.05~-3A</t>
  </si>
  <si>
    <t>D：-3~0A</t>
  </si>
  <si>
    <t>E：0.05~3A</t>
  </si>
  <si>
    <t>F：抗磁力與殘磁量</t>
  </si>
  <si>
    <t>I(A)</t>
  </si>
  <si>
    <t>θ平均值</t>
  </si>
  <si>
    <t>tanθ</t>
  </si>
  <si>
    <r>
      <t>tan</t>
    </r>
    <r>
      <rPr>
        <sz val="12"/>
        <color rgb="FF000000"/>
        <rFont val="Calibri"/>
        <family val="2"/>
      </rPr>
      <t>θ</t>
    </r>
  </si>
  <si>
    <t>抗磁力</t>
  </si>
  <si>
    <r>
      <t>H</t>
    </r>
    <r>
      <rPr>
        <sz val="12"/>
        <color rgb="FF000000"/>
        <rFont val="Arial"/>
        <family val="2"/>
      </rPr>
      <t>c(N/L)=</t>
    </r>
  </si>
  <si>
    <r>
      <t>tan</t>
    </r>
    <r>
      <rPr>
        <sz val="12"/>
        <color rgb="FF000000"/>
        <rFont val="Calibri"/>
        <family val="2"/>
      </rPr>
      <t>θ</t>
    </r>
    <r>
      <rPr>
        <sz val="12"/>
        <color rgb="FF000000"/>
        <rFont val="Arial"/>
        <family val="2"/>
      </rPr>
      <t>等於0時的兩個x值</t>
    </r>
  </si>
  <si>
    <t>殘磁量</t>
  </si>
  <si>
    <r>
      <t>B</t>
    </r>
    <r>
      <rPr>
        <sz val="12"/>
        <color rgb="FF000000"/>
        <rFont val="Arial"/>
        <family val="2"/>
      </rPr>
      <t>r(</t>
    </r>
    <r>
      <rPr>
        <sz val="12"/>
        <color rgb="FF000000"/>
        <rFont val="Calibri"/>
        <family val="2"/>
      </rPr>
      <t>αμ</t>
    </r>
    <r>
      <rPr>
        <sz val="12"/>
        <color rgb="FF000000"/>
        <rFont val="Arial"/>
        <family val="2"/>
      </rPr>
      <t>0)=</t>
    </r>
  </si>
  <si>
    <t>I等於0時的兩個y值</t>
  </si>
  <si>
    <t xml:space="preserve">  </t>
    <phoneticPr fontId="1" type="noConversion"/>
  </si>
  <si>
    <t>I(A)</t>
    <phoneticPr fontId="1" type="noConversion"/>
  </si>
  <si>
    <r>
      <t>tan</t>
    </r>
    <r>
      <rPr>
        <sz val="12"/>
        <color theme="1"/>
        <rFont val="Calibri"/>
        <family val="4"/>
        <charset val="161"/>
      </rPr>
      <t>θ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</si>
</sst>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Aptos Narrow"/>
      <family val="2"/>
    </font>
    <font>
      <b/>
      <sz val="12"/>
      <color theme="1"/>
      <name val="DFKai-SB"/>
      <family val="4"/>
    </font>
    <font>
      <sz val="12"/>
      <color theme="1"/>
      <name val="DFKai-SB"/>
      <family val="4"/>
    </font>
    <font>
      <sz val="12"/>
      <color rgb="FF000000"/>
      <name val="DFKai-SB"/>
      <family val="4"/>
    </font>
    <font>
      <sz val="12"/>
      <color rgb="FF000000"/>
      <name val="Calibri"/>
      <family val="2"/>
    </font>
    <font>
      <sz val="12"/>
      <color rgb="FF000000"/>
      <name val="Arial"/>
      <family val="2"/>
    </font>
    <font>
      <sz val="12"/>
      <color theme="1"/>
      <name val="Calibri"/>
      <family val="4"/>
      <charset val="161"/>
    </font>
  </fonts>
  <fills count="3">
    <fill>
      <patternFill patternType="none"/>
    </fill>
    <fill>
      <patternFill patternType="gray125"/>
    </fill>
    <fill>
      <patternFill patternType="solid">
        <fgColor rgb="FFD9F2D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4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baseline="0"/>
              <a:t>I-tan</a:t>
            </a:r>
            <a:r>
              <a:rPr lang="el-GR" altLang="zh-TW" sz="1400" b="0" i="0" u="none" strike="noStrike" baseline="0"/>
              <a:t>θ</a:t>
            </a:r>
            <a:r>
              <a:rPr lang="zh-TW" altLang="en-US" sz="1400" b="0" i="0" u="none" strike="noStrike" baseline="0"/>
              <a:t>磁滯曲線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工作表1!$B$2</c:f>
              <c:strCache>
                <c:ptCount val="1"/>
                <c:pt idx="0">
                  <c:v>A：0.05~3A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工作表1!$B$4:$B$64</c:f>
              <c:numCache>
                <c:formatCode>General</c:formatCode>
                <c:ptCount val="6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0.71</c:v>
                </c:pt>
                <c:pt idx="15">
                  <c:v>0.76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1.67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</c:numCache>
            </c:numRef>
          </c:xVal>
          <c:yVal>
            <c:numRef>
              <c:f>工作表1!$D$4:$D$64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1.0472358322297188E-2</c:v>
                </c:pt>
                <c:pt idx="3">
                  <c:v>3.3173416604132679E-2</c:v>
                </c:pt>
                <c:pt idx="4">
                  <c:v>6.6419926714922611E-2</c:v>
                </c:pt>
                <c:pt idx="5">
                  <c:v>9.9813269471482016E-2</c:v>
                </c:pt>
                <c:pt idx="6">
                  <c:v>0.14945100134912781</c:v>
                </c:pt>
                <c:pt idx="7">
                  <c:v>0.20345229942369936</c:v>
                </c:pt>
                <c:pt idx="8">
                  <c:v>0.27920501677030035</c:v>
                </c:pt>
                <c:pt idx="9">
                  <c:v>0.43273864224742586</c:v>
                </c:pt>
                <c:pt idx="10">
                  <c:v>0.73726358502586253</c:v>
                </c:pt>
                <c:pt idx="11">
                  <c:v>0.99999999999999989</c:v>
                </c:pt>
                <c:pt idx="12">
                  <c:v>1.2616859984184432</c:v>
                </c:pt>
                <c:pt idx="13">
                  <c:v>1.4175903664888059</c:v>
                </c:pt>
                <c:pt idx="14">
                  <c:v>1.5339969024544566</c:v>
                </c:pt>
                <c:pt idx="15">
                  <c:v>1.5941365935723404</c:v>
                </c:pt>
                <c:pt idx="16">
                  <c:v>1.6511962594297764</c:v>
                </c:pt>
                <c:pt idx="17">
                  <c:v>1.7112949021069424</c:v>
                </c:pt>
                <c:pt idx="18">
                  <c:v>1.7460984305389278</c:v>
                </c:pt>
                <c:pt idx="19">
                  <c:v>1.8040477552714236</c:v>
                </c:pt>
                <c:pt idx="20">
                  <c:v>1.8341297451875926</c:v>
                </c:pt>
                <c:pt idx="21">
                  <c:v>1.8807264653463318</c:v>
                </c:pt>
                <c:pt idx="22">
                  <c:v>1.9209821269711662</c:v>
                </c:pt>
                <c:pt idx="23">
                  <c:v>1.9457895576435003</c:v>
                </c:pt>
                <c:pt idx="24">
                  <c:v>1.971107678634481</c:v>
                </c:pt>
                <c:pt idx="25">
                  <c:v>1.9969538555995485</c:v>
                </c:pt>
                <c:pt idx="26">
                  <c:v>2.0322683470689076</c:v>
                </c:pt>
                <c:pt idx="27">
                  <c:v>2.050303841579296</c:v>
                </c:pt>
                <c:pt idx="28">
                  <c:v>2.0685993549187924</c:v>
                </c:pt>
                <c:pt idx="29">
                  <c:v>2.0965435990881738</c:v>
                </c:pt>
                <c:pt idx="30">
                  <c:v>2.1155163555319136</c:v>
                </c:pt>
                <c:pt idx="31">
                  <c:v>2.1347714081041396</c:v>
                </c:pt>
                <c:pt idx="32">
                  <c:v>2.1445069205095586</c:v>
                </c:pt>
                <c:pt idx="33">
                  <c:v>2.1543155843129504</c:v>
                </c:pt>
                <c:pt idx="34">
                  <c:v>2.1641982875347678</c:v>
                </c:pt>
                <c:pt idx="35">
                  <c:v>2.1641982875347678</c:v>
                </c:pt>
                <c:pt idx="36">
                  <c:v>2.1741559325614914</c:v>
                </c:pt>
                <c:pt idx="37">
                  <c:v>2.2251009113208058</c:v>
                </c:pt>
                <c:pt idx="38">
                  <c:v>2.235527999504241</c:v>
                </c:pt>
                <c:pt idx="39">
                  <c:v>2.2460367739042164</c:v>
                </c:pt>
                <c:pt idx="40">
                  <c:v>2.2566282629757084</c:v>
                </c:pt>
                <c:pt idx="41">
                  <c:v>2.2673035124434944</c:v>
                </c:pt>
                <c:pt idx="42">
                  <c:v>2.278063585666517</c:v>
                </c:pt>
                <c:pt idx="43">
                  <c:v>2.2889095640115285</c:v>
                </c:pt>
                <c:pt idx="44">
                  <c:v>2.3108636538824094</c:v>
                </c:pt>
                <c:pt idx="45">
                  <c:v>2.321974021678793</c:v>
                </c:pt>
                <c:pt idx="46">
                  <c:v>2.3331748079548493</c:v>
                </c:pt>
                <c:pt idx="47">
                  <c:v>2.3444671900649543</c:v>
                </c:pt>
                <c:pt idx="48">
                  <c:v>2.3444671900649543</c:v>
                </c:pt>
                <c:pt idx="49">
                  <c:v>2.3558523658237531</c:v>
                </c:pt>
                <c:pt idx="50">
                  <c:v>2.3673315539529405</c:v>
                </c:pt>
                <c:pt idx="51">
                  <c:v>2.3673315539529405</c:v>
                </c:pt>
                <c:pt idx="52">
                  <c:v>2.3673315539529405</c:v>
                </c:pt>
                <c:pt idx="53">
                  <c:v>2.3789059945397661</c:v>
                </c:pt>
                <c:pt idx="54">
                  <c:v>2.390576949507667</c:v>
                </c:pt>
                <c:pt idx="55">
                  <c:v>2.390576949507667</c:v>
                </c:pt>
                <c:pt idx="56">
                  <c:v>2.4023457030994106</c:v>
                </c:pt>
                <c:pt idx="57">
                  <c:v>2.4142135623730949</c:v>
                </c:pt>
                <c:pt idx="58">
                  <c:v>2.4261818577114589</c:v>
                </c:pt>
                <c:pt idx="59">
                  <c:v>2.4261818577114589</c:v>
                </c:pt>
                <c:pt idx="60">
                  <c:v>2.4382519433448815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FC-4490-90D0-D64FF0687E4D}"/>
            </c:ext>
          </c:extLst>
        </c:ser>
        <c:ser>
          <c:idx val="1"/>
          <c:order val="1"/>
          <c:tx>
            <c:strRef>
              <c:f>工作表1!$F$2</c:f>
              <c:strCache>
                <c:ptCount val="1"/>
                <c:pt idx="0">
                  <c:v>B：3~0A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工作表1!$F$4:$F$64</c:f>
              <c:numCache>
                <c:formatCode>General</c:formatCode>
                <c:ptCount val="61"/>
                <c:pt idx="0">
                  <c:v>3</c:v>
                </c:pt>
                <c:pt idx="1">
                  <c:v>2.94</c:v>
                </c:pt>
                <c:pt idx="2">
                  <c:v>2.9</c:v>
                </c:pt>
                <c:pt idx="3">
                  <c:v>2.85</c:v>
                </c:pt>
                <c:pt idx="4">
                  <c:v>2.78</c:v>
                </c:pt>
                <c:pt idx="5">
                  <c:v>2.75</c:v>
                </c:pt>
                <c:pt idx="6">
                  <c:v>2.7</c:v>
                </c:pt>
                <c:pt idx="7">
                  <c:v>2.65</c:v>
                </c:pt>
                <c:pt idx="8">
                  <c:v>2.6</c:v>
                </c:pt>
                <c:pt idx="9">
                  <c:v>2.5499999999999998</c:v>
                </c:pt>
                <c:pt idx="10">
                  <c:v>2.4900000000000002</c:v>
                </c:pt>
                <c:pt idx="11">
                  <c:v>2.44</c:v>
                </c:pt>
                <c:pt idx="12">
                  <c:v>2.4</c:v>
                </c:pt>
                <c:pt idx="13">
                  <c:v>2.35</c:v>
                </c:pt>
                <c:pt idx="14">
                  <c:v>2.2999999999999998</c:v>
                </c:pt>
                <c:pt idx="15">
                  <c:v>2.25</c:v>
                </c:pt>
                <c:pt idx="16">
                  <c:v>2.2000000000000002</c:v>
                </c:pt>
                <c:pt idx="17">
                  <c:v>2.15</c:v>
                </c:pt>
                <c:pt idx="18">
                  <c:v>2.09</c:v>
                </c:pt>
                <c:pt idx="19">
                  <c:v>2.0499999999999998</c:v>
                </c:pt>
                <c:pt idx="20">
                  <c:v>2</c:v>
                </c:pt>
                <c:pt idx="21">
                  <c:v>1.95</c:v>
                </c:pt>
                <c:pt idx="22">
                  <c:v>1.9</c:v>
                </c:pt>
                <c:pt idx="23">
                  <c:v>1.85</c:v>
                </c:pt>
                <c:pt idx="24">
                  <c:v>1.8</c:v>
                </c:pt>
                <c:pt idx="25">
                  <c:v>1.75</c:v>
                </c:pt>
                <c:pt idx="26">
                  <c:v>1.7</c:v>
                </c:pt>
                <c:pt idx="27">
                  <c:v>1.65</c:v>
                </c:pt>
                <c:pt idx="28">
                  <c:v>1.6</c:v>
                </c:pt>
                <c:pt idx="29">
                  <c:v>1.55</c:v>
                </c:pt>
                <c:pt idx="30">
                  <c:v>1.5</c:v>
                </c:pt>
                <c:pt idx="31">
                  <c:v>1.45</c:v>
                </c:pt>
                <c:pt idx="32">
                  <c:v>1.4</c:v>
                </c:pt>
                <c:pt idx="33">
                  <c:v>1.35</c:v>
                </c:pt>
                <c:pt idx="34">
                  <c:v>1.3</c:v>
                </c:pt>
                <c:pt idx="35">
                  <c:v>1.25</c:v>
                </c:pt>
                <c:pt idx="36">
                  <c:v>1.2</c:v>
                </c:pt>
                <c:pt idx="37">
                  <c:v>1.1499999999999999</c:v>
                </c:pt>
                <c:pt idx="38">
                  <c:v>1.07</c:v>
                </c:pt>
                <c:pt idx="39">
                  <c:v>1.05</c:v>
                </c:pt>
                <c:pt idx="40">
                  <c:v>1</c:v>
                </c:pt>
                <c:pt idx="41">
                  <c:v>0.95</c:v>
                </c:pt>
                <c:pt idx="42">
                  <c:v>0.9</c:v>
                </c:pt>
                <c:pt idx="43">
                  <c:v>0.85</c:v>
                </c:pt>
                <c:pt idx="44">
                  <c:v>0.8</c:v>
                </c:pt>
                <c:pt idx="45">
                  <c:v>0.75</c:v>
                </c:pt>
                <c:pt idx="46">
                  <c:v>0.7</c:v>
                </c:pt>
                <c:pt idx="47">
                  <c:v>0.65</c:v>
                </c:pt>
                <c:pt idx="48">
                  <c:v>0.6</c:v>
                </c:pt>
                <c:pt idx="49">
                  <c:v>0.55000000000000004</c:v>
                </c:pt>
                <c:pt idx="50">
                  <c:v>0.5</c:v>
                </c:pt>
                <c:pt idx="51">
                  <c:v>0.45</c:v>
                </c:pt>
                <c:pt idx="52">
                  <c:v>0.4</c:v>
                </c:pt>
                <c:pt idx="53">
                  <c:v>0.33</c:v>
                </c:pt>
                <c:pt idx="54">
                  <c:v>0.3</c:v>
                </c:pt>
                <c:pt idx="55">
                  <c:v>0.25</c:v>
                </c:pt>
                <c:pt idx="56">
                  <c:v>0.2</c:v>
                </c:pt>
                <c:pt idx="57">
                  <c:v>0.15</c:v>
                </c:pt>
                <c:pt idx="58">
                  <c:v>0.6</c:v>
                </c:pt>
                <c:pt idx="59">
                  <c:v>0.05</c:v>
                </c:pt>
                <c:pt idx="60">
                  <c:v>0</c:v>
                </c:pt>
              </c:numCache>
            </c:numRef>
          </c:xVal>
          <c:yVal>
            <c:numRef>
              <c:f>工作表1!$H$4:$H$64</c:f>
              <c:numCache>
                <c:formatCode>General</c:formatCode>
                <c:ptCount val="61"/>
                <c:pt idx="0">
                  <c:v>2.4382519433448815</c:v>
                </c:pt>
                <c:pt idx="1">
                  <c:v>2.4261818577114589</c:v>
                </c:pt>
                <c:pt idx="2">
                  <c:v>2.4261818577114589</c:v>
                </c:pt>
                <c:pt idx="3">
                  <c:v>2.4261818577114589</c:v>
                </c:pt>
                <c:pt idx="4">
                  <c:v>2.4142135623730949</c:v>
                </c:pt>
                <c:pt idx="5">
                  <c:v>2.4142135623730949</c:v>
                </c:pt>
                <c:pt idx="6">
                  <c:v>2.4142135623730949</c:v>
                </c:pt>
                <c:pt idx="7">
                  <c:v>2.4142135623730949</c:v>
                </c:pt>
                <c:pt idx="8">
                  <c:v>2.4023457030994106</c:v>
                </c:pt>
                <c:pt idx="9">
                  <c:v>2.4023457030994106</c:v>
                </c:pt>
                <c:pt idx="10">
                  <c:v>2.390576949507667</c:v>
                </c:pt>
                <c:pt idx="11">
                  <c:v>2.3789059945397661</c:v>
                </c:pt>
                <c:pt idx="12">
                  <c:v>2.3673315539529405</c:v>
                </c:pt>
                <c:pt idx="13">
                  <c:v>2.3673315539529405</c:v>
                </c:pt>
                <c:pt idx="14">
                  <c:v>2.3673315539529405</c:v>
                </c:pt>
                <c:pt idx="15">
                  <c:v>2.3673315539529405</c:v>
                </c:pt>
                <c:pt idx="16">
                  <c:v>2.3673315539529405</c:v>
                </c:pt>
                <c:pt idx="17">
                  <c:v>2.3558523658237531</c:v>
                </c:pt>
                <c:pt idx="18">
                  <c:v>2.3558523658237531</c:v>
                </c:pt>
                <c:pt idx="19">
                  <c:v>2.3558523658237531</c:v>
                </c:pt>
                <c:pt idx="20">
                  <c:v>2.3558523658237531</c:v>
                </c:pt>
                <c:pt idx="21">
                  <c:v>2.3444671900649543</c:v>
                </c:pt>
                <c:pt idx="22">
                  <c:v>2.3444671900649543</c:v>
                </c:pt>
                <c:pt idx="23">
                  <c:v>2.3444671900649543</c:v>
                </c:pt>
                <c:pt idx="24">
                  <c:v>2.3331748079548493</c:v>
                </c:pt>
                <c:pt idx="25">
                  <c:v>2.3331748079548493</c:v>
                </c:pt>
                <c:pt idx="26">
                  <c:v>2.321974021678793</c:v>
                </c:pt>
                <c:pt idx="27">
                  <c:v>2.3108636538824094</c:v>
                </c:pt>
                <c:pt idx="28">
                  <c:v>2.2998425472362567</c:v>
                </c:pt>
                <c:pt idx="29">
                  <c:v>2.2889095640115285</c:v>
                </c:pt>
                <c:pt idx="30">
                  <c:v>2.278063585666517</c:v>
                </c:pt>
                <c:pt idx="31">
                  <c:v>2.2673035124434944</c:v>
                </c:pt>
                <c:pt idx="32">
                  <c:v>2.2566282629757084</c:v>
                </c:pt>
                <c:pt idx="33">
                  <c:v>2.2460367739042164</c:v>
                </c:pt>
                <c:pt idx="34">
                  <c:v>2.2460367739042164</c:v>
                </c:pt>
                <c:pt idx="35">
                  <c:v>2.2460367739042164</c:v>
                </c:pt>
                <c:pt idx="36">
                  <c:v>2.235527999504241</c:v>
                </c:pt>
                <c:pt idx="37">
                  <c:v>2.2251009113208058</c:v>
                </c:pt>
                <c:pt idx="38">
                  <c:v>2.2044877640091447</c:v>
                </c:pt>
                <c:pt idx="39">
                  <c:v>2.1942997311650374</c:v>
                </c:pt>
                <c:pt idx="40">
                  <c:v>2.1841894364376606</c:v>
                </c:pt>
                <c:pt idx="41">
                  <c:v>2.1641982875347678</c:v>
                </c:pt>
                <c:pt idx="42">
                  <c:v>2.1543155843129504</c:v>
                </c:pt>
                <c:pt idx="43">
                  <c:v>2.1445069205095586</c:v>
                </c:pt>
                <c:pt idx="44">
                  <c:v>2.1347714081041396</c:v>
                </c:pt>
                <c:pt idx="45">
                  <c:v>2.1155163555319136</c:v>
                </c:pt>
                <c:pt idx="46">
                  <c:v>2.0965435990881738</c:v>
                </c:pt>
                <c:pt idx="47">
                  <c:v>2.0778465235638057</c:v>
                </c:pt>
                <c:pt idx="48">
                  <c:v>2.0594187178508694</c:v>
                </c:pt>
                <c:pt idx="49">
                  <c:v>2.0412539671217025</c:v>
                </c:pt>
                <c:pt idx="50">
                  <c:v>2.0056897082590202</c:v>
                </c:pt>
                <c:pt idx="51">
                  <c:v>1.9796635181412774</c:v>
                </c:pt>
                <c:pt idx="52">
                  <c:v>1.9626105055051504</c:v>
                </c:pt>
                <c:pt idx="53">
                  <c:v>1.9374645063245954</c:v>
                </c:pt>
                <c:pt idx="54">
                  <c:v>1.9128235772661863</c:v>
                </c:pt>
                <c:pt idx="55">
                  <c:v>1.8886713416310679</c:v>
                </c:pt>
                <c:pt idx="56">
                  <c:v>1.8572015433137625</c:v>
                </c:pt>
                <c:pt idx="57">
                  <c:v>1.8114968749814369</c:v>
                </c:pt>
                <c:pt idx="58">
                  <c:v>1.7390533002149762</c:v>
                </c:pt>
                <c:pt idx="59">
                  <c:v>1.7250905244220645</c:v>
                </c:pt>
                <c:pt idx="60">
                  <c:v>1.6708782445123791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FC-4490-90D0-D64FF0687E4D}"/>
            </c:ext>
          </c:extLst>
        </c:ser>
        <c:ser>
          <c:idx val="2"/>
          <c:order val="2"/>
          <c:tx>
            <c:strRef>
              <c:f>工作表1!$J$2</c:f>
              <c:strCache>
                <c:ptCount val="1"/>
                <c:pt idx="0">
                  <c:v>C：-0.05~-3A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工作表1!$J$4:$J$64</c:f>
              <c:numCache>
                <c:formatCode>General</c:formatCode>
                <c:ptCount val="61"/>
                <c:pt idx="0">
                  <c:v>0</c:v>
                </c:pt>
                <c:pt idx="1">
                  <c:v>-0.05</c:v>
                </c:pt>
                <c:pt idx="2">
                  <c:v>-0.1</c:v>
                </c:pt>
                <c:pt idx="3">
                  <c:v>-0.15</c:v>
                </c:pt>
                <c:pt idx="4">
                  <c:v>-0.2</c:v>
                </c:pt>
                <c:pt idx="5">
                  <c:v>-0.25</c:v>
                </c:pt>
                <c:pt idx="6">
                  <c:v>-0.3</c:v>
                </c:pt>
                <c:pt idx="7">
                  <c:v>-0.35</c:v>
                </c:pt>
                <c:pt idx="8">
                  <c:v>-0.4</c:v>
                </c:pt>
                <c:pt idx="9">
                  <c:v>-0.46</c:v>
                </c:pt>
                <c:pt idx="10">
                  <c:v>-0.51</c:v>
                </c:pt>
                <c:pt idx="11">
                  <c:v>-0.55000000000000004</c:v>
                </c:pt>
                <c:pt idx="12">
                  <c:v>-0.6</c:v>
                </c:pt>
                <c:pt idx="13">
                  <c:v>-0.65</c:v>
                </c:pt>
                <c:pt idx="14">
                  <c:v>-0.7</c:v>
                </c:pt>
                <c:pt idx="15">
                  <c:v>-0.75</c:v>
                </c:pt>
                <c:pt idx="16">
                  <c:v>-0.81</c:v>
                </c:pt>
                <c:pt idx="17">
                  <c:v>-0.85</c:v>
                </c:pt>
                <c:pt idx="18">
                  <c:v>-0.9</c:v>
                </c:pt>
                <c:pt idx="19">
                  <c:v>-0.95</c:v>
                </c:pt>
                <c:pt idx="20">
                  <c:v>-1.01</c:v>
                </c:pt>
                <c:pt idx="21">
                  <c:v>-1.05</c:v>
                </c:pt>
                <c:pt idx="22">
                  <c:v>-1.1000000000000001</c:v>
                </c:pt>
                <c:pt idx="23">
                  <c:v>-1.1499999999999999</c:v>
                </c:pt>
                <c:pt idx="24">
                  <c:v>-1.2</c:v>
                </c:pt>
                <c:pt idx="25">
                  <c:v>-1.25</c:v>
                </c:pt>
                <c:pt idx="26">
                  <c:v>-1.3</c:v>
                </c:pt>
                <c:pt idx="27">
                  <c:v>-1.35</c:v>
                </c:pt>
                <c:pt idx="28">
                  <c:v>-1.4</c:v>
                </c:pt>
                <c:pt idx="29">
                  <c:v>-1.45</c:v>
                </c:pt>
                <c:pt idx="30">
                  <c:v>-1.5</c:v>
                </c:pt>
                <c:pt idx="31">
                  <c:v>-1.55</c:v>
                </c:pt>
                <c:pt idx="32">
                  <c:v>-1.6</c:v>
                </c:pt>
                <c:pt idx="33">
                  <c:v>-1.65</c:v>
                </c:pt>
                <c:pt idx="34">
                  <c:v>-1.7</c:v>
                </c:pt>
                <c:pt idx="35">
                  <c:v>-1.75</c:v>
                </c:pt>
                <c:pt idx="36">
                  <c:v>-1.8</c:v>
                </c:pt>
                <c:pt idx="37">
                  <c:v>-1.85</c:v>
                </c:pt>
                <c:pt idx="38">
                  <c:v>-1.9</c:v>
                </c:pt>
                <c:pt idx="39">
                  <c:v>-1.96</c:v>
                </c:pt>
                <c:pt idx="40">
                  <c:v>-2</c:v>
                </c:pt>
                <c:pt idx="41">
                  <c:v>-2.0499999999999998</c:v>
                </c:pt>
                <c:pt idx="42">
                  <c:v>-2.12</c:v>
                </c:pt>
                <c:pt idx="43">
                  <c:v>-2.15</c:v>
                </c:pt>
                <c:pt idx="44">
                  <c:v>-2.2000000000000002</c:v>
                </c:pt>
                <c:pt idx="45">
                  <c:v>-2.25</c:v>
                </c:pt>
                <c:pt idx="46">
                  <c:v>-2.2999999999999998</c:v>
                </c:pt>
                <c:pt idx="47">
                  <c:v>-2.35</c:v>
                </c:pt>
                <c:pt idx="48">
                  <c:v>-2.4</c:v>
                </c:pt>
                <c:pt idx="49">
                  <c:v>-2.4500000000000002</c:v>
                </c:pt>
                <c:pt idx="50">
                  <c:v>-2.5</c:v>
                </c:pt>
                <c:pt idx="51">
                  <c:v>-2.5499999999999998</c:v>
                </c:pt>
                <c:pt idx="52">
                  <c:v>-2.6</c:v>
                </c:pt>
                <c:pt idx="53">
                  <c:v>-2.65</c:v>
                </c:pt>
                <c:pt idx="54">
                  <c:v>-2.7</c:v>
                </c:pt>
                <c:pt idx="55">
                  <c:v>-2.75</c:v>
                </c:pt>
                <c:pt idx="56">
                  <c:v>-2.8</c:v>
                </c:pt>
                <c:pt idx="57">
                  <c:v>-2.85</c:v>
                </c:pt>
                <c:pt idx="58">
                  <c:v>-2.9</c:v>
                </c:pt>
                <c:pt idx="59">
                  <c:v>-2.95</c:v>
                </c:pt>
                <c:pt idx="60">
                  <c:v>-3</c:v>
                </c:pt>
              </c:numCache>
            </c:numRef>
          </c:xVal>
          <c:yVal>
            <c:numRef>
              <c:f>工作表1!$L$4:$L$64</c:f>
              <c:numCache>
                <c:formatCode>General</c:formatCode>
                <c:ptCount val="61"/>
                <c:pt idx="0">
                  <c:v>1.6708782445123791</c:v>
                </c:pt>
                <c:pt idx="1">
                  <c:v>1.6708782445123791</c:v>
                </c:pt>
                <c:pt idx="2">
                  <c:v>1.6003345290410507</c:v>
                </c:pt>
                <c:pt idx="3">
                  <c:v>1.4550090286724449</c:v>
                </c:pt>
                <c:pt idx="4">
                  <c:v>1.2799416321930788</c:v>
                </c:pt>
                <c:pt idx="5">
                  <c:v>1.1263271072115684</c:v>
                </c:pt>
                <c:pt idx="6">
                  <c:v>0.9390625058174924</c:v>
                </c:pt>
                <c:pt idx="7">
                  <c:v>0.77010367233556531</c:v>
                </c:pt>
                <c:pt idx="8">
                  <c:v>0.57502550374757522</c:v>
                </c:pt>
                <c:pt idx="9">
                  <c:v>0.27356904308223728</c:v>
                </c:pt>
                <c:pt idx="10">
                  <c:v>-0.16017404878599298</c:v>
                </c:pt>
                <c:pt idx="11">
                  <c:v>-0.47056428121225147</c:v>
                </c:pt>
                <c:pt idx="12">
                  <c:v>-0.76732698797896037</c:v>
                </c:pt>
                <c:pt idx="13">
                  <c:v>-0.94896456671487961</c:v>
                </c:pt>
                <c:pt idx="14">
                  <c:v>-1.0648918403247916</c:v>
                </c:pt>
                <c:pt idx="15">
                  <c:v>-1.1503684072210094</c:v>
                </c:pt>
                <c:pt idx="16">
                  <c:v>-1.2348971565350515</c:v>
                </c:pt>
                <c:pt idx="17">
                  <c:v>-1.312687636440071</c:v>
                </c:pt>
                <c:pt idx="18">
                  <c:v>-1.3613350362962873</c:v>
                </c:pt>
                <c:pt idx="19">
                  <c:v>-1.4388114382235035</c:v>
                </c:pt>
                <c:pt idx="20">
                  <c:v>-1.4769938278509929</c:v>
                </c:pt>
                <c:pt idx="21">
                  <c:v>-1.5398649638145829</c:v>
                </c:pt>
                <c:pt idx="22">
                  <c:v>-1.6003345290410507</c:v>
                </c:pt>
                <c:pt idx="23">
                  <c:v>-1.6318516871287894</c:v>
                </c:pt>
                <c:pt idx="24">
                  <c:v>-1.6708782445123791</c:v>
                </c:pt>
                <c:pt idx="25">
                  <c:v>-1.7044587344980777</c:v>
                </c:pt>
                <c:pt idx="26">
                  <c:v>-1.7603183457965603</c:v>
                </c:pt>
                <c:pt idx="27">
                  <c:v>-1.789289319003883</c:v>
                </c:pt>
                <c:pt idx="28">
                  <c:v>-1.8114968749814369</c:v>
                </c:pt>
                <c:pt idx="29">
                  <c:v>-1.8572015433137625</c:v>
                </c:pt>
                <c:pt idx="30">
                  <c:v>-1.8886713416310679</c:v>
                </c:pt>
                <c:pt idx="31">
                  <c:v>-1.9209821269711662</c:v>
                </c:pt>
                <c:pt idx="32">
                  <c:v>-1.929195567862757</c:v>
                </c:pt>
                <c:pt idx="33">
                  <c:v>-1.9457895576435003</c:v>
                </c:pt>
                <c:pt idx="34">
                  <c:v>-1.9626105055051504</c:v>
                </c:pt>
                <c:pt idx="35">
                  <c:v>-1.9626105055051504</c:v>
                </c:pt>
                <c:pt idx="36">
                  <c:v>-1.9796635181412774</c:v>
                </c:pt>
                <c:pt idx="37">
                  <c:v>-2.0594187178508694</c:v>
                </c:pt>
                <c:pt idx="38">
                  <c:v>-2.0778465235638057</c:v>
                </c:pt>
                <c:pt idx="39">
                  <c:v>-2.0965435990881738</c:v>
                </c:pt>
                <c:pt idx="40">
                  <c:v>-2.1155163555319136</c:v>
                </c:pt>
                <c:pt idx="41">
                  <c:v>-2.1347714081041396</c:v>
                </c:pt>
                <c:pt idx="42">
                  <c:v>-2.1543155843129504</c:v>
                </c:pt>
                <c:pt idx="43">
                  <c:v>-2.1741559325614914</c:v>
                </c:pt>
                <c:pt idx="44">
                  <c:v>-2.2044877640091447</c:v>
                </c:pt>
                <c:pt idx="45">
                  <c:v>-2.2251009113208058</c:v>
                </c:pt>
                <c:pt idx="46">
                  <c:v>-2.2460367739042164</c:v>
                </c:pt>
                <c:pt idx="47">
                  <c:v>-2.2673035124434944</c:v>
                </c:pt>
                <c:pt idx="48">
                  <c:v>-2.2673035124434944</c:v>
                </c:pt>
                <c:pt idx="49">
                  <c:v>-2.2889095640115285</c:v>
                </c:pt>
                <c:pt idx="50">
                  <c:v>-2.3108636538824094</c:v>
                </c:pt>
                <c:pt idx="51">
                  <c:v>-2.3108636538824094</c:v>
                </c:pt>
                <c:pt idx="52">
                  <c:v>-2.3108636538824094</c:v>
                </c:pt>
                <c:pt idx="53">
                  <c:v>-2.3331748079548493</c:v>
                </c:pt>
                <c:pt idx="54">
                  <c:v>-2.3558523658237531</c:v>
                </c:pt>
                <c:pt idx="55">
                  <c:v>-2.3558523658237531</c:v>
                </c:pt>
                <c:pt idx="56">
                  <c:v>-2.3673315539529405</c:v>
                </c:pt>
                <c:pt idx="57">
                  <c:v>-2.390576949507667</c:v>
                </c:pt>
                <c:pt idx="58">
                  <c:v>-2.4142135623730949</c:v>
                </c:pt>
                <c:pt idx="59">
                  <c:v>-2.4142135623730949</c:v>
                </c:pt>
                <c:pt idx="60">
                  <c:v>-2.4382519433448815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FC-4490-90D0-D64FF0687E4D}"/>
            </c:ext>
          </c:extLst>
        </c:ser>
        <c:ser>
          <c:idx val="3"/>
          <c:order val="3"/>
          <c:tx>
            <c:strRef>
              <c:f>工作表1!$N$2</c:f>
              <c:strCache>
                <c:ptCount val="1"/>
                <c:pt idx="0">
                  <c:v>D：-3~0A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工作表1!$N$4:$N$64</c:f>
              <c:numCache>
                <c:formatCode>General</c:formatCode>
                <c:ptCount val="61"/>
                <c:pt idx="0">
                  <c:v>-3</c:v>
                </c:pt>
                <c:pt idx="1">
                  <c:v>-2.95</c:v>
                </c:pt>
                <c:pt idx="2">
                  <c:v>-2.9</c:v>
                </c:pt>
                <c:pt idx="3">
                  <c:v>-2.85</c:v>
                </c:pt>
                <c:pt idx="4">
                  <c:v>-2.8</c:v>
                </c:pt>
                <c:pt idx="5">
                  <c:v>-2.75</c:v>
                </c:pt>
                <c:pt idx="6">
                  <c:v>-2.7</c:v>
                </c:pt>
                <c:pt idx="7">
                  <c:v>-2.65</c:v>
                </c:pt>
                <c:pt idx="8">
                  <c:v>-2.6</c:v>
                </c:pt>
                <c:pt idx="9">
                  <c:v>-2.5499999999999998</c:v>
                </c:pt>
                <c:pt idx="10">
                  <c:v>-2.5</c:v>
                </c:pt>
                <c:pt idx="11">
                  <c:v>-2.4500000000000002</c:v>
                </c:pt>
                <c:pt idx="12">
                  <c:v>-2.4</c:v>
                </c:pt>
                <c:pt idx="13">
                  <c:v>-2.35</c:v>
                </c:pt>
                <c:pt idx="14">
                  <c:v>-2.2999999999999998</c:v>
                </c:pt>
                <c:pt idx="15">
                  <c:v>-2.25</c:v>
                </c:pt>
                <c:pt idx="16">
                  <c:v>-2.2000000000000002</c:v>
                </c:pt>
                <c:pt idx="17">
                  <c:v>-2.15</c:v>
                </c:pt>
                <c:pt idx="18">
                  <c:v>-2.1</c:v>
                </c:pt>
                <c:pt idx="19">
                  <c:v>-2.0499999999999998</c:v>
                </c:pt>
                <c:pt idx="20">
                  <c:v>-2</c:v>
                </c:pt>
                <c:pt idx="21">
                  <c:v>-1.95</c:v>
                </c:pt>
                <c:pt idx="22">
                  <c:v>-1.9</c:v>
                </c:pt>
                <c:pt idx="23">
                  <c:v>-1.85</c:v>
                </c:pt>
                <c:pt idx="24">
                  <c:v>-1.8</c:v>
                </c:pt>
                <c:pt idx="25">
                  <c:v>-1.75</c:v>
                </c:pt>
                <c:pt idx="26">
                  <c:v>-1.7</c:v>
                </c:pt>
                <c:pt idx="27">
                  <c:v>-1.65</c:v>
                </c:pt>
                <c:pt idx="28">
                  <c:v>-1.6</c:v>
                </c:pt>
                <c:pt idx="29">
                  <c:v>-1.55</c:v>
                </c:pt>
                <c:pt idx="30">
                  <c:v>-1.5</c:v>
                </c:pt>
                <c:pt idx="31">
                  <c:v>-1.45</c:v>
                </c:pt>
                <c:pt idx="32">
                  <c:v>-1.4</c:v>
                </c:pt>
                <c:pt idx="33">
                  <c:v>-1.35</c:v>
                </c:pt>
                <c:pt idx="34">
                  <c:v>-1.3</c:v>
                </c:pt>
                <c:pt idx="35">
                  <c:v>-1.25</c:v>
                </c:pt>
                <c:pt idx="36">
                  <c:v>-1.2</c:v>
                </c:pt>
                <c:pt idx="37">
                  <c:v>-1.1499999999999999</c:v>
                </c:pt>
                <c:pt idx="38">
                  <c:v>-1.1000000000000001</c:v>
                </c:pt>
                <c:pt idx="39">
                  <c:v>-1.05</c:v>
                </c:pt>
                <c:pt idx="40">
                  <c:v>-1</c:v>
                </c:pt>
                <c:pt idx="41">
                  <c:v>-0.95</c:v>
                </c:pt>
                <c:pt idx="42">
                  <c:v>-0.9</c:v>
                </c:pt>
                <c:pt idx="43">
                  <c:v>-0.85</c:v>
                </c:pt>
                <c:pt idx="44">
                  <c:v>-0.8</c:v>
                </c:pt>
                <c:pt idx="45">
                  <c:v>-0.75</c:v>
                </c:pt>
                <c:pt idx="46">
                  <c:v>-0.7</c:v>
                </c:pt>
                <c:pt idx="47">
                  <c:v>-0.65</c:v>
                </c:pt>
                <c:pt idx="48">
                  <c:v>-0.6</c:v>
                </c:pt>
                <c:pt idx="49">
                  <c:v>-0.55000000000000004</c:v>
                </c:pt>
                <c:pt idx="50">
                  <c:v>-0.5</c:v>
                </c:pt>
                <c:pt idx="51">
                  <c:v>-0.45</c:v>
                </c:pt>
                <c:pt idx="52">
                  <c:v>-0.4</c:v>
                </c:pt>
                <c:pt idx="53">
                  <c:v>-0.35</c:v>
                </c:pt>
                <c:pt idx="54">
                  <c:v>-0.3</c:v>
                </c:pt>
                <c:pt idx="55">
                  <c:v>-0.25</c:v>
                </c:pt>
                <c:pt idx="56">
                  <c:v>-0.2</c:v>
                </c:pt>
                <c:pt idx="57">
                  <c:v>-0.15</c:v>
                </c:pt>
                <c:pt idx="58">
                  <c:v>-0.1</c:v>
                </c:pt>
                <c:pt idx="59">
                  <c:v>-0.05</c:v>
                </c:pt>
                <c:pt idx="60">
                  <c:v>0</c:v>
                </c:pt>
              </c:numCache>
            </c:numRef>
          </c:xVal>
          <c:yVal>
            <c:numRef>
              <c:f>工作表1!$P$4:$P$64</c:f>
              <c:numCache>
                <c:formatCode>General</c:formatCode>
                <c:ptCount val="61"/>
                <c:pt idx="0">
                  <c:v>-2.4261818577114589</c:v>
                </c:pt>
                <c:pt idx="1">
                  <c:v>-2.4261818577114589</c:v>
                </c:pt>
                <c:pt idx="2">
                  <c:v>-2.4261818577114589</c:v>
                </c:pt>
                <c:pt idx="3">
                  <c:v>-2.4261818577114589</c:v>
                </c:pt>
                <c:pt idx="4">
                  <c:v>-2.4142135623730949</c:v>
                </c:pt>
                <c:pt idx="5">
                  <c:v>-2.4142135623730949</c:v>
                </c:pt>
                <c:pt idx="6">
                  <c:v>-2.4142135623730949</c:v>
                </c:pt>
                <c:pt idx="7">
                  <c:v>-2.4142135623730949</c:v>
                </c:pt>
                <c:pt idx="8">
                  <c:v>-2.4023457030994106</c:v>
                </c:pt>
                <c:pt idx="9">
                  <c:v>-2.4023457030994106</c:v>
                </c:pt>
                <c:pt idx="10">
                  <c:v>-2.390576949507667</c:v>
                </c:pt>
                <c:pt idx="11">
                  <c:v>-2.3789059945397661</c:v>
                </c:pt>
                <c:pt idx="12">
                  <c:v>-2.3673315539529405</c:v>
                </c:pt>
                <c:pt idx="13">
                  <c:v>-2.3673315539529405</c:v>
                </c:pt>
                <c:pt idx="14">
                  <c:v>-2.3673315539529405</c:v>
                </c:pt>
                <c:pt idx="15">
                  <c:v>-2.3673315539529405</c:v>
                </c:pt>
                <c:pt idx="16">
                  <c:v>-2.3673315539529405</c:v>
                </c:pt>
                <c:pt idx="17">
                  <c:v>-2.3558523658237531</c:v>
                </c:pt>
                <c:pt idx="18">
                  <c:v>-2.3558523658237531</c:v>
                </c:pt>
                <c:pt idx="19">
                  <c:v>-2.3558523658237531</c:v>
                </c:pt>
                <c:pt idx="20">
                  <c:v>-2.3558523658237531</c:v>
                </c:pt>
                <c:pt idx="21">
                  <c:v>-2.3444671900649543</c:v>
                </c:pt>
                <c:pt idx="22">
                  <c:v>-2.3444671900649543</c:v>
                </c:pt>
                <c:pt idx="23">
                  <c:v>-2.3444671900649543</c:v>
                </c:pt>
                <c:pt idx="24">
                  <c:v>-2.3331748079548493</c:v>
                </c:pt>
                <c:pt idx="25">
                  <c:v>-2.3331748079548493</c:v>
                </c:pt>
                <c:pt idx="26">
                  <c:v>-2.321974021678793</c:v>
                </c:pt>
                <c:pt idx="27">
                  <c:v>-2.3108636538824094</c:v>
                </c:pt>
                <c:pt idx="28">
                  <c:v>-2.2998425472362567</c:v>
                </c:pt>
                <c:pt idx="29">
                  <c:v>-2.2889095640115285</c:v>
                </c:pt>
                <c:pt idx="30">
                  <c:v>-2.278063585666517</c:v>
                </c:pt>
                <c:pt idx="31">
                  <c:v>-2.2673035124434944</c:v>
                </c:pt>
                <c:pt idx="32">
                  <c:v>-2.2566282629757084</c:v>
                </c:pt>
                <c:pt idx="33">
                  <c:v>-2.2460367739042164</c:v>
                </c:pt>
                <c:pt idx="34">
                  <c:v>-2.2460367739042164</c:v>
                </c:pt>
                <c:pt idx="35">
                  <c:v>-2.2460367739042164</c:v>
                </c:pt>
                <c:pt idx="36">
                  <c:v>-2.235527999504241</c:v>
                </c:pt>
                <c:pt idx="37">
                  <c:v>-2.2251009113208058</c:v>
                </c:pt>
                <c:pt idx="38">
                  <c:v>-2.2147544978133622</c:v>
                </c:pt>
                <c:pt idx="39">
                  <c:v>-2.1942997311650374</c:v>
                </c:pt>
                <c:pt idx="40">
                  <c:v>-2.1841894364376606</c:v>
                </c:pt>
                <c:pt idx="41">
                  <c:v>-2.1641982875347678</c:v>
                </c:pt>
                <c:pt idx="42">
                  <c:v>-2.1543155843129504</c:v>
                </c:pt>
                <c:pt idx="43">
                  <c:v>-2.1445069205095586</c:v>
                </c:pt>
                <c:pt idx="44">
                  <c:v>-2.1347714081041396</c:v>
                </c:pt>
                <c:pt idx="45">
                  <c:v>-2.1155163555319136</c:v>
                </c:pt>
                <c:pt idx="46">
                  <c:v>-2.0965435990881738</c:v>
                </c:pt>
                <c:pt idx="47">
                  <c:v>-2.0778465235638057</c:v>
                </c:pt>
                <c:pt idx="48">
                  <c:v>-2.0594187178508694</c:v>
                </c:pt>
                <c:pt idx="49">
                  <c:v>-2.050303841579296</c:v>
                </c:pt>
                <c:pt idx="50">
                  <c:v>-2.0322683470689076</c:v>
                </c:pt>
                <c:pt idx="51">
                  <c:v>-2.0056897082590202</c:v>
                </c:pt>
                <c:pt idx="52">
                  <c:v>-1.9796635181412774</c:v>
                </c:pt>
                <c:pt idx="53">
                  <c:v>-1.9541713461737753</c:v>
                </c:pt>
                <c:pt idx="54">
                  <c:v>-1.9209821269711662</c:v>
                </c:pt>
                <c:pt idx="55">
                  <c:v>-1.8966687694364976</c:v>
                </c:pt>
                <c:pt idx="56">
                  <c:v>-1.8494613101929911</c:v>
                </c:pt>
                <c:pt idx="57">
                  <c:v>-1.8114968749814369</c:v>
                </c:pt>
                <c:pt idx="58">
                  <c:v>-1.7603183457965603</c:v>
                </c:pt>
                <c:pt idx="59">
                  <c:v>-1.7250905244220645</c:v>
                </c:pt>
                <c:pt idx="60">
                  <c:v>-1.6708782445123791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CFC-4490-90D0-D64FF0687E4D}"/>
            </c:ext>
          </c:extLst>
        </c:ser>
        <c:ser>
          <c:idx val="4"/>
          <c:order val="4"/>
          <c:tx>
            <c:strRef>
              <c:f>工作表1!$R$2</c:f>
              <c:strCache>
                <c:ptCount val="1"/>
                <c:pt idx="0">
                  <c:v>E：0.05~3A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工作表1!$R$4:$R$64</c:f>
              <c:numCache>
                <c:formatCode>General</c:formatCode>
                <c:ptCount val="6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</c:numCache>
            </c:numRef>
          </c:xVal>
          <c:yVal>
            <c:numRef>
              <c:f>工作表1!$T$4:$T$64</c:f>
              <c:numCache>
                <c:formatCode>General</c:formatCode>
                <c:ptCount val="61"/>
                <c:pt idx="0">
                  <c:v>-1.6708782445123791</c:v>
                </c:pt>
                <c:pt idx="1">
                  <c:v>-1.6708782445123791</c:v>
                </c:pt>
                <c:pt idx="2">
                  <c:v>-1.6003345290410507</c:v>
                </c:pt>
                <c:pt idx="3">
                  <c:v>-1.4550090286724449</c:v>
                </c:pt>
                <c:pt idx="4">
                  <c:v>-1.2799416321930788</c:v>
                </c:pt>
                <c:pt idx="5">
                  <c:v>-1.1263271072115684</c:v>
                </c:pt>
                <c:pt idx="6">
                  <c:v>-0.9390625058174924</c:v>
                </c:pt>
                <c:pt idx="7">
                  <c:v>-0.77010367233556531</c:v>
                </c:pt>
                <c:pt idx="8">
                  <c:v>-0.57502550374757522</c:v>
                </c:pt>
                <c:pt idx="9">
                  <c:v>-0.27356904308223728</c:v>
                </c:pt>
                <c:pt idx="10">
                  <c:v>0.16017404878599298</c:v>
                </c:pt>
                <c:pt idx="11">
                  <c:v>0.47056428121225147</c:v>
                </c:pt>
                <c:pt idx="12">
                  <c:v>0.76732698797896037</c:v>
                </c:pt>
                <c:pt idx="13">
                  <c:v>0.94896456671487961</c:v>
                </c:pt>
                <c:pt idx="14">
                  <c:v>1.0648918403247916</c:v>
                </c:pt>
                <c:pt idx="15">
                  <c:v>1.1503684072210094</c:v>
                </c:pt>
                <c:pt idx="16">
                  <c:v>1.2348971565350515</c:v>
                </c:pt>
                <c:pt idx="17">
                  <c:v>1.312687636440071</c:v>
                </c:pt>
                <c:pt idx="18">
                  <c:v>1.3613350362962873</c:v>
                </c:pt>
                <c:pt idx="19">
                  <c:v>1.4388114382235035</c:v>
                </c:pt>
                <c:pt idx="20">
                  <c:v>1.4769938278509929</c:v>
                </c:pt>
                <c:pt idx="21">
                  <c:v>1.5398649638145829</c:v>
                </c:pt>
                <c:pt idx="22">
                  <c:v>1.6003345290410507</c:v>
                </c:pt>
                <c:pt idx="23">
                  <c:v>1.6318516871287894</c:v>
                </c:pt>
                <c:pt idx="24">
                  <c:v>1.6708782445123791</c:v>
                </c:pt>
                <c:pt idx="25">
                  <c:v>1.7044587344980777</c:v>
                </c:pt>
                <c:pt idx="26">
                  <c:v>1.7603183457965603</c:v>
                </c:pt>
                <c:pt idx="27">
                  <c:v>1.789289319003883</c:v>
                </c:pt>
                <c:pt idx="28">
                  <c:v>1.8114968749814369</c:v>
                </c:pt>
                <c:pt idx="29">
                  <c:v>1.8572015433137625</c:v>
                </c:pt>
                <c:pt idx="30">
                  <c:v>1.8886713416310679</c:v>
                </c:pt>
                <c:pt idx="31">
                  <c:v>1.9209821269711662</c:v>
                </c:pt>
                <c:pt idx="32">
                  <c:v>1.929195567862757</c:v>
                </c:pt>
                <c:pt idx="33">
                  <c:v>1.9457895576435003</c:v>
                </c:pt>
                <c:pt idx="34">
                  <c:v>1.9626105055051504</c:v>
                </c:pt>
                <c:pt idx="35">
                  <c:v>1.9626105055051504</c:v>
                </c:pt>
                <c:pt idx="36">
                  <c:v>1.9796635181412774</c:v>
                </c:pt>
                <c:pt idx="37">
                  <c:v>2.0594187178508694</c:v>
                </c:pt>
                <c:pt idx="38">
                  <c:v>2.0778465235638057</c:v>
                </c:pt>
                <c:pt idx="39">
                  <c:v>2.0965435990881738</c:v>
                </c:pt>
                <c:pt idx="40">
                  <c:v>2.1155163555319136</c:v>
                </c:pt>
                <c:pt idx="41">
                  <c:v>2.1347714081041396</c:v>
                </c:pt>
                <c:pt idx="42">
                  <c:v>2.1543155843129504</c:v>
                </c:pt>
                <c:pt idx="43">
                  <c:v>2.1741559325614914</c:v>
                </c:pt>
                <c:pt idx="44">
                  <c:v>2.2044877640091447</c:v>
                </c:pt>
                <c:pt idx="45">
                  <c:v>2.2251009113208058</c:v>
                </c:pt>
                <c:pt idx="46">
                  <c:v>2.2460367739042164</c:v>
                </c:pt>
                <c:pt idx="47">
                  <c:v>2.2673035124434944</c:v>
                </c:pt>
                <c:pt idx="48">
                  <c:v>2.2673035124434944</c:v>
                </c:pt>
                <c:pt idx="49">
                  <c:v>2.2889095640115285</c:v>
                </c:pt>
                <c:pt idx="50">
                  <c:v>2.3108636538824094</c:v>
                </c:pt>
                <c:pt idx="51">
                  <c:v>2.3108636538824094</c:v>
                </c:pt>
                <c:pt idx="52">
                  <c:v>2.3108636538824094</c:v>
                </c:pt>
                <c:pt idx="53">
                  <c:v>2.3331748079548493</c:v>
                </c:pt>
                <c:pt idx="54">
                  <c:v>2.3558523658237531</c:v>
                </c:pt>
                <c:pt idx="55">
                  <c:v>2.3558523658237531</c:v>
                </c:pt>
                <c:pt idx="56">
                  <c:v>2.3673315539529405</c:v>
                </c:pt>
                <c:pt idx="57">
                  <c:v>2.390576949507667</c:v>
                </c:pt>
                <c:pt idx="58">
                  <c:v>2.4142135623730949</c:v>
                </c:pt>
                <c:pt idx="59">
                  <c:v>2.4142135623730949</c:v>
                </c:pt>
                <c:pt idx="60">
                  <c:v>2.4382519433448815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CFC-4490-90D0-D64FF0687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4725135"/>
        <c:axId val="1184725615"/>
      </c:scatterChart>
      <c:valAx>
        <c:axId val="1184725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I(A)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84725615"/>
        <c:crosses val="autoZero"/>
        <c:crossBetween val="midCat"/>
      </c:valAx>
      <c:valAx>
        <c:axId val="118472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tan</a:t>
                </a:r>
                <a:r>
                  <a:rPr lang="el-GR" altLang="zh-TW"/>
                  <a:t>θ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847251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401781</xdr:colOff>
      <xdr:row>12</xdr:row>
      <xdr:rowOff>14548</xdr:rowOff>
    </xdr:from>
    <xdr:to>
      <xdr:col>30</xdr:col>
      <xdr:colOff>540326</xdr:colOff>
      <xdr:row>28</xdr:row>
      <xdr:rowOff>151015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BBDA76E-FAC6-A769-96EC-B0FC1677FA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19739-BEEB-4B53-8EC5-6DC56A0166CA}">
  <dimension ref="A1:AB1000"/>
  <sheetViews>
    <sheetView tabSelected="1" zoomScale="70" zoomScaleNormal="70" workbookViewId="0">
      <selection activeCell="V3" sqref="V3:Z4"/>
    </sheetView>
  </sheetViews>
  <sheetFormatPr defaultRowHeight="16.2"/>
  <cols>
    <col min="2" max="2" width="11.77734375" customWidth="1"/>
    <col min="3" max="3" width="9" bestFit="1" customWidth="1"/>
    <col min="4" max="4" width="15.21875" bestFit="1" customWidth="1"/>
    <col min="6" max="7" width="9.109375" bestFit="1" customWidth="1"/>
    <col min="8" max="8" width="17.5546875" bestFit="1" customWidth="1"/>
    <col min="10" max="10" width="9.6640625" bestFit="1" customWidth="1"/>
    <col min="11" max="11" width="9.109375" bestFit="1" customWidth="1"/>
    <col min="12" max="12" width="19.109375" bestFit="1" customWidth="1"/>
    <col min="14" max="14" width="9.6640625" bestFit="1" customWidth="1"/>
    <col min="15" max="15" width="9" bestFit="1" customWidth="1"/>
    <col min="16" max="16" width="19.109375" bestFit="1" customWidth="1"/>
    <col min="18" max="18" width="9.109375" bestFit="1" customWidth="1"/>
    <col min="19" max="19" width="9" bestFit="1" customWidth="1"/>
    <col min="20" max="20" width="19.109375" bestFit="1" customWidth="1"/>
  </cols>
  <sheetData>
    <row r="1" spans="1:2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32.4">
      <c r="A2" s="1"/>
      <c r="B2" s="2" t="s">
        <v>0</v>
      </c>
      <c r="C2" s="1"/>
      <c r="D2" s="1"/>
      <c r="E2" s="1"/>
      <c r="F2" s="3" t="s">
        <v>1</v>
      </c>
      <c r="G2" s="1"/>
      <c r="H2" s="1"/>
      <c r="I2" s="1"/>
      <c r="J2" s="2" t="s">
        <v>2</v>
      </c>
      <c r="K2" s="1"/>
      <c r="L2" s="1"/>
      <c r="M2" s="1"/>
      <c r="N2" s="3" t="s">
        <v>3</v>
      </c>
      <c r="O2" s="1"/>
      <c r="P2" s="1"/>
      <c r="Q2" s="1"/>
      <c r="R2" s="2" t="s">
        <v>4</v>
      </c>
      <c r="S2" s="1"/>
      <c r="T2" s="1"/>
      <c r="U2" s="1"/>
      <c r="V2" s="2" t="s">
        <v>5</v>
      </c>
      <c r="W2" s="1"/>
      <c r="X2" s="1"/>
      <c r="Y2" s="1"/>
      <c r="Z2" s="1"/>
      <c r="AA2" s="1"/>
      <c r="AB2" s="1"/>
    </row>
    <row r="3" spans="1:28" ht="32.4">
      <c r="A3" s="1"/>
      <c r="B3" s="8" t="s">
        <v>6</v>
      </c>
      <c r="C3" s="8" t="s">
        <v>7</v>
      </c>
      <c r="D3" s="8" t="s">
        <v>8</v>
      </c>
      <c r="E3" s="1"/>
      <c r="F3" s="8" t="s">
        <v>17</v>
      </c>
      <c r="G3" s="8" t="s">
        <v>7</v>
      </c>
      <c r="H3" s="8" t="s">
        <v>18</v>
      </c>
      <c r="I3" s="1"/>
      <c r="J3" s="8" t="s">
        <v>6</v>
      </c>
      <c r="K3" s="8" t="s">
        <v>7</v>
      </c>
      <c r="L3" s="8" t="s">
        <v>8</v>
      </c>
      <c r="M3" s="1"/>
      <c r="N3" s="8" t="s">
        <v>6</v>
      </c>
      <c r="O3" s="8" t="s">
        <v>7</v>
      </c>
      <c r="P3" s="8" t="s">
        <v>8</v>
      </c>
      <c r="Q3" s="1"/>
      <c r="R3" s="8" t="s">
        <v>6</v>
      </c>
      <c r="S3" s="8" t="s">
        <v>7</v>
      </c>
      <c r="T3" s="11" t="s">
        <v>9</v>
      </c>
      <c r="U3" s="1"/>
      <c r="V3" s="4" t="s">
        <v>10</v>
      </c>
      <c r="W3" s="5" t="s">
        <v>11</v>
      </c>
      <c r="X3">
        <v>-0.49099999999999999</v>
      </c>
      <c r="Y3" s="5" t="s">
        <v>11</v>
      </c>
      <c r="Z3">
        <v>0.48099999999999998</v>
      </c>
      <c r="AA3" s="6" t="s">
        <v>12</v>
      </c>
      <c r="AB3" s="1"/>
    </row>
    <row r="4" spans="1:28" ht="31.2">
      <c r="A4" s="1"/>
      <c r="B4" s="8">
        <v>0</v>
      </c>
      <c r="C4" s="8">
        <v>0</v>
      </c>
      <c r="D4" s="8">
        <f>TAN(RADIANS(C4))</f>
        <v>0</v>
      </c>
      <c r="E4" s="1"/>
      <c r="F4" s="8">
        <v>3</v>
      </c>
      <c r="G4" s="10">
        <v>67.7</v>
      </c>
      <c r="H4" s="8">
        <f>TAN(RADIANS(G4))</f>
        <v>2.4382519433448815</v>
      </c>
      <c r="I4" s="1"/>
      <c r="J4" s="8">
        <v>0</v>
      </c>
      <c r="K4" s="10">
        <v>59.1</v>
      </c>
      <c r="L4" s="8">
        <f>TAN(RADIANS(K4))</f>
        <v>1.6708782445123791</v>
      </c>
      <c r="M4" s="1"/>
      <c r="N4" s="8">
        <v>-3</v>
      </c>
      <c r="O4" s="10">
        <v>-67.599999999999994</v>
      </c>
      <c r="P4" s="8">
        <f>TAN(RADIANS(O4))</f>
        <v>-2.4261818577114589</v>
      </c>
      <c r="Q4" s="1"/>
      <c r="R4" s="8">
        <v>0</v>
      </c>
      <c r="S4" s="10">
        <v>-59.1</v>
      </c>
      <c r="T4" s="8">
        <f>TAN(RADIANS(S4))</f>
        <v>-1.6708782445123791</v>
      </c>
      <c r="U4" s="1"/>
      <c r="V4" s="4" t="s">
        <v>13</v>
      </c>
      <c r="W4" s="5" t="s">
        <v>14</v>
      </c>
      <c r="X4">
        <v>1.671</v>
      </c>
      <c r="Y4" s="5" t="s">
        <v>14</v>
      </c>
      <c r="Z4">
        <v>-1.671</v>
      </c>
      <c r="AA4" s="7" t="s">
        <v>15</v>
      </c>
      <c r="AB4" s="1"/>
    </row>
    <row r="5" spans="1:28">
      <c r="A5" s="1"/>
      <c r="B5" s="8">
        <v>0.05</v>
      </c>
      <c r="C5" s="9">
        <v>0</v>
      </c>
      <c r="D5" s="8">
        <f t="shared" ref="D5:D64" si="0">TAN(RADIANS(C5))</f>
        <v>0</v>
      </c>
      <c r="E5" s="1"/>
      <c r="F5" s="8">
        <v>2.94</v>
      </c>
      <c r="G5" s="9">
        <v>67.599999999999994</v>
      </c>
      <c r="H5" s="8">
        <f t="shared" ref="H5:H64" si="1">TAN(RADIANS(G5))</f>
        <v>2.4261818577114589</v>
      </c>
      <c r="I5" s="1"/>
      <c r="J5" s="8">
        <v>-0.05</v>
      </c>
      <c r="K5" s="9">
        <v>59.1</v>
      </c>
      <c r="L5" s="8">
        <f t="shared" ref="L5:L64" si="2">TAN(RADIANS(K5))</f>
        <v>1.6708782445123791</v>
      </c>
      <c r="M5" s="1"/>
      <c r="N5" s="8">
        <v>-2.95</v>
      </c>
      <c r="O5" s="9">
        <v>-67.599999999999994</v>
      </c>
      <c r="P5" s="8">
        <f t="shared" ref="P5:P64" si="3">TAN(RADIANS(O5))</f>
        <v>-2.4261818577114589</v>
      </c>
      <c r="Q5" s="1"/>
      <c r="R5" s="8">
        <v>0.05</v>
      </c>
      <c r="S5" s="9">
        <v>-59.1</v>
      </c>
      <c r="T5" s="8">
        <f t="shared" ref="T5:T64" si="4">TAN(RADIANS(S5))</f>
        <v>-1.6708782445123791</v>
      </c>
      <c r="U5" s="1"/>
      <c r="V5" s="1"/>
      <c r="W5" s="1"/>
      <c r="X5" s="1"/>
      <c r="Y5" s="1"/>
      <c r="Z5" s="1"/>
      <c r="AA5" s="1"/>
      <c r="AB5" s="1"/>
    </row>
    <row r="6" spans="1:28">
      <c r="A6" s="1"/>
      <c r="B6" s="8">
        <v>0.1</v>
      </c>
      <c r="C6" s="9">
        <v>0.6</v>
      </c>
      <c r="D6" s="8">
        <f t="shared" si="0"/>
        <v>1.0472358322297188E-2</v>
      </c>
      <c r="E6" s="1"/>
      <c r="F6" s="8">
        <v>2.9</v>
      </c>
      <c r="G6" s="9">
        <v>67.599999999999994</v>
      </c>
      <c r="H6" s="8">
        <f t="shared" si="1"/>
        <v>2.4261818577114589</v>
      </c>
      <c r="I6" s="1"/>
      <c r="J6" s="8">
        <v>-0.1</v>
      </c>
      <c r="K6" s="9">
        <v>58</v>
      </c>
      <c r="L6" s="8">
        <f t="shared" si="2"/>
        <v>1.6003345290410507</v>
      </c>
      <c r="M6" s="1"/>
      <c r="N6" s="8">
        <v>-2.9</v>
      </c>
      <c r="O6" s="9">
        <v>-67.599999999999994</v>
      </c>
      <c r="P6" s="8">
        <f t="shared" si="3"/>
        <v>-2.4261818577114589</v>
      </c>
      <c r="Q6" s="1"/>
      <c r="R6" s="8">
        <v>0.1</v>
      </c>
      <c r="S6" s="9">
        <v>-58</v>
      </c>
      <c r="T6" s="8">
        <f t="shared" si="4"/>
        <v>-1.6003345290410507</v>
      </c>
      <c r="U6" s="1"/>
      <c r="V6" s="1"/>
      <c r="W6" s="1"/>
      <c r="X6" s="1"/>
      <c r="Y6" s="1"/>
      <c r="Z6" s="1"/>
      <c r="AA6" s="1"/>
      <c r="AB6" s="1"/>
    </row>
    <row r="7" spans="1:28">
      <c r="A7" s="1"/>
      <c r="B7" s="8">
        <v>0.15</v>
      </c>
      <c r="C7" s="9">
        <v>1.9</v>
      </c>
      <c r="D7" s="8">
        <f t="shared" si="0"/>
        <v>3.3173416604132679E-2</v>
      </c>
      <c r="E7" s="1"/>
      <c r="F7" s="8">
        <v>2.85</v>
      </c>
      <c r="G7" s="9">
        <v>67.599999999999994</v>
      </c>
      <c r="H7" s="8">
        <f t="shared" si="1"/>
        <v>2.4261818577114589</v>
      </c>
      <c r="I7" s="1"/>
      <c r="J7" s="8">
        <v>-0.15</v>
      </c>
      <c r="K7" s="9">
        <v>55.5</v>
      </c>
      <c r="L7" s="8">
        <f t="shared" si="2"/>
        <v>1.4550090286724449</v>
      </c>
      <c r="M7" s="1"/>
      <c r="N7" s="8">
        <v>-2.85</v>
      </c>
      <c r="O7" s="9">
        <v>-67.599999999999994</v>
      </c>
      <c r="P7" s="8">
        <f t="shared" si="3"/>
        <v>-2.4261818577114589</v>
      </c>
      <c r="Q7" s="1"/>
      <c r="R7" s="8">
        <v>0.15</v>
      </c>
      <c r="S7" s="9">
        <v>-55.5</v>
      </c>
      <c r="T7" s="8">
        <f t="shared" si="4"/>
        <v>-1.4550090286724449</v>
      </c>
      <c r="U7" s="1"/>
      <c r="V7" s="1"/>
      <c r="W7" s="1"/>
      <c r="X7" s="1"/>
      <c r="Y7" s="1"/>
      <c r="Z7" s="1"/>
      <c r="AA7" s="1"/>
      <c r="AB7" s="1"/>
    </row>
    <row r="8" spans="1:28">
      <c r="A8" s="1"/>
      <c r="B8" s="8">
        <v>0.2</v>
      </c>
      <c r="C8" s="9">
        <v>3.8</v>
      </c>
      <c r="D8" s="8">
        <f t="shared" si="0"/>
        <v>6.6419926714922611E-2</v>
      </c>
      <c r="E8" s="1"/>
      <c r="F8" s="8">
        <v>2.78</v>
      </c>
      <c r="G8" s="9">
        <v>67.5</v>
      </c>
      <c r="H8" s="8">
        <f t="shared" si="1"/>
        <v>2.4142135623730949</v>
      </c>
      <c r="I8" s="1"/>
      <c r="J8" s="8">
        <v>-0.2</v>
      </c>
      <c r="K8" s="9">
        <v>52</v>
      </c>
      <c r="L8" s="8">
        <f t="shared" si="2"/>
        <v>1.2799416321930788</v>
      </c>
      <c r="M8" s="1"/>
      <c r="N8" s="8">
        <v>-2.8</v>
      </c>
      <c r="O8" s="9">
        <v>-67.5</v>
      </c>
      <c r="P8" s="8">
        <f t="shared" si="3"/>
        <v>-2.4142135623730949</v>
      </c>
      <c r="Q8" s="1"/>
      <c r="R8" s="8">
        <v>0.2</v>
      </c>
      <c r="S8" s="9">
        <v>-52</v>
      </c>
      <c r="T8" s="8">
        <f t="shared" si="4"/>
        <v>-1.2799416321930788</v>
      </c>
      <c r="U8" s="1"/>
      <c r="V8" s="1"/>
      <c r="W8" s="1"/>
      <c r="X8" s="1"/>
      <c r="Y8" s="1"/>
      <c r="Z8" s="1"/>
      <c r="AA8" s="1"/>
      <c r="AB8" s="1"/>
    </row>
    <row r="9" spans="1:28">
      <c r="A9" s="1"/>
      <c r="B9" s="8">
        <v>0.25</v>
      </c>
      <c r="C9" s="9">
        <v>5.7</v>
      </c>
      <c r="D9" s="8">
        <f t="shared" si="0"/>
        <v>9.9813269471482016E-2</v>
      </c>
      <c r="E9" s="1"/>
      <c r="F9" s="8">
        <v>2.75</v>
      </c>
      <c r="G9" s="9">
        <v>67.5</v>
      </c>
      <c r="H9" s="8">
        <f t="shared" si="1"/>
        <v>2.4142135623730949</v>
      </c>
      <c r="I9" s="1"/>
      <c r="J9" s="8">
        <v>-0.25</v>
      </c>
      <c r="K9" s="9">
        <v>48.4</v>
      </c>
      <c r="L9" s="8">
        <f t="shared" si="2"/>
        <v>1.1263271072115684</v>
      </c>
      <c r="M9" s="1"/>
      <c r="N9" s="8">
        <v>-2.75</v>
      </c>
      <c r="O9" s="9">
        <v>-67.5</v>
      </c>
      <c r="P9" s="8">
        <f t="shared" si="3"/>
        <v>-2.4142135623730949</v>
      </c>
      <c r="Q9" s="1"/>
      <c r="R9" s="8">
        <v>0.25</v>
      </c>
      <c r="S9" s="9">
        <v>-48.4</v>
      </c>
      <c r="T9" s="8">
        <f t="shared" si="4"/>
        <v>-1.1263271072115684</v>
      </c>
      <c r="U9" s="1"/>
      <c r="V9" s="1"/>
      <c r="W9" s="1"/>
      <c r="X9" s="1"/>
      <c r="Y9" s="1"/>
      <c r="Z9" s="1"/>
      <c r="AA9" s="1"/>
      <c r="AB9" s="1"/>
    </row>
    <row r="10" spans="1:28">
      <c r="A10" s="1"/>
      <c r="B10" s="8">
        <v>0.3</v>
      </c>
      <c r="C10" s="9">
        <v>8.5</v>
      </c>
      <c r="D10" s="8">
        <f t="shared" si="0"/>
        <v>0.14945100134912781</v>
      </c>
      <c r="E10" s="1"/>
      <c r="F10" s="8">
        <v>2.7</v>
      </c>
      <c r="G10" s="9">
        <v>67.5</v>
      </c>
      <c r="H10" s="8">
        <f t="shared" si="1"/>
        <v>2.4142135623730949</v>
      </c>
      <c r="I10" s="1"/>
      <c r="J10" s="8">
        <v>-0.3</v>
      </c>
      <c r="K10" s="9">
        <v>43.2</v>
      </c>
      <c r="L10" s="8">
        <f t="shared" si="2"/>
        <v>0.9390625058174924</v>
      </c>
      <c r="M10" s="1"/>
      <c r="N10" s="8">
        <v>-2.7</v>
      </c>
      <c r="O10" s="9">
        <v>-67.5</v>
      </c>
      <c r="P10" s="8">
        <f t="shared" si="3"/>
        <v>-2.4142135623730949</v>
      </c>
      <c r="Q10" s="1"/>
      <c r="R10" s="8">
        <v>0.3</v>
      </c>
      <c r="S10" s="9">
        <v>-43.2</v>
      </c>
      <c r="T10" s="8">
        <f t="shared" si="4"/>
        <v>-0.9390625058174924</v>
      </c>
      <c r="U10" s="1"/>
      <c r="V10" s="1"/>
      <c r="W10" s="1"/>
      <c r="X10" s="1"/>
      <c r="Y10" s="1"/>
      <c r="Z10" s="1"/>
      <c r="AA10" s="1"/>
      <c r="AB10" s="1"/>
    </row>
    <row r="11" spans="1:28">
      <c r="A11" s="1"/>
      <c r="B11" s="8">
        <v>0.35</v>
      </c>
      <c r="C11" s="9">
        <v>11.5</v>
      </c>
      <c r="D11" s="8">
        <f t="shared" si="0"/>
        <v>0.20345229942369936</v>
      </c>
      <c r="E11" s="1"/>
      <c r="F11" s="8">
        <v>2.65</v>
      </c>
      <c r="G11" s="9">
        <v>67.5</v>
      </c>
      <c r="H11" s="8">
        <f t="shared" si="1"/>
        <v>2.4142135623730949</v>
      </c>
      <c r="I11" s="1"/>
      <c r="J11" s="8">
        <v>-0.35</v>
      </c>
      <c r="K11" s="9">
        <v>37.6</v>
      </c>
      <c r="L11" s="8">
        <f t="shared" si="2"/>
        <v>0.77010367233556531</v>
      </c>
      <c r="M11" s="1" t="s">
        <v>16</v>
      </c>
      <c r="N11" s="8">
        <v>-2.65</v>
      </c>
      <c r="O11" s="9">
        <v>-67.5</v>
      </c>
      <c r="P11" s="8">
        <f t="shared" si="3"/>
        <v>-2.4142135623730949</v>
      </c>
      <c r="Q11" s="1"/>
      <c r="R11" s="8">
        <v>0.35</v>
      </c>
      <c r="S11" s="9">
        <v>-37.6</v>
      </c>
      <c r="T11" s="8">
        <f t="shared" si="4"/>
        <v>-0.77010367233556531</v>
      </c>
      <c r="U11" s="1"/>
      <c r="V11" s="1"/>
      <c r="W11" s="1"/>
      <c r="X11" s="1"/>
      <c r="Y11" s="1"/>
      <c r="Z11" s="1"/>
      <c r="AA11" s="1"/>
      <c r="AB11" s="1"/>
    </row>
    <row r="12" spans="1:28">
      <c r="A12" s="1"/>
      <c r="B12" s="8">
        <v>0.4</v>
      </c>
      <c r="C12" s="9">
        <v>15.6</v>
      </c>
      <c r="D12" s="8">
        <f t="shared" si="0"/>
        <v>0.27920501677030035</v>
      </c>
      <c r="E12" s="1"/>
      <c r="F12" s="8">
        <v>2.6</v>
      </c>
      <c r="G12" s="9">
        <v>67.400000000000006</v>
      </c>
      <c r="H12" s="8">
        <f t="shared" si="1"/>
        <v>2.4023457030994106</v>
      </c>
      <c r="I12" s="1"/>
      <c r="J12" s="8">
        <v>-0.4</v>
      </c>
      <c r="K12" s="9">
        <v>29.9</v>
      </c>
      <c r="L12" s="8">
        <f t="shared" si="2"/>
        <v>0.57502550374757522</v>
      </c>
      <c r="M12" s="1"/>
      <c r="N12" s="8">
        <v>-2.6</v>
      </c>
      <c r="O12" s="9">
        <v>-67.400000000000006</v>
      </c>
      <c r="P12" s="8">
        <f t="shared" si="3"/>
        <v>-2.4023457030994106</v>
      </c>
      <c r="Q12" s="1"/>
      <c r="R12" s="8">
        <v>0.4</v>
      </c>
      <c r="S12" s="9">
        <v>-29.9</v>
      </c>
      <c r="T12" s="8">
        <f t="shared" si="4"/>
        <v>-0.57502550374757522</v>
      </c>
      <c r="U12" s="1"/>
      <c r="V12" s="1"/>
      <c r="W12" s="1"/>
      <c r="X12" s="1"/>
      <c r="Y12" s="1"/>
      <c r="Z12" s="1"/>
      <c r="AA12" s="1"/>
      <c r="AB12" s="1"/>
    </row>
    <row r="13" spans="1:28">
      <c r="A13" s="1"/>
      <c r="B13" s="8">
        <v>0.45</v>
      </c>
      <c r="C13" s="9">
        <v>23.4</v>
      </c>
      <c r="D13" s="8">
        <f t="shared" si="0"/>
        <v>0.43273864224742586</v>
      </c>
      <c r="E13" s="1"/>
      <c r="F13" s="8">
        <v>2.5499999999999998</v>
      </c>
      <c r="G13" s="9">
        <v>67.400000000000006</v>
      </c>
      <c r="H13" s="8">
        <f t="shared" si="1"/>
        <v>2.4023457030994106</v>
      </c>
      <c r="I13" s="1"/>
      <c r="J13" s="8">
        <v>-0.46</v>
      </c>
      <c r="K13" s="9">
        <v>15.3</v>
      </c>
      <c r="L13" s="8">
        <f t="shared" si="2"/>
        <v>0.27356904308223728</v>
      </c>
      <c r="M13" s="1"/>
      <c r="N13" s="8">
        <v>-2.5499999999999998</v>
      </c>
      <c r="O13" s="9">
        <v>-67.400000000000006</v>
      </c>
      <c r="P13" s="8">
        <f t="shared" si="3"/>
        <v>-2.4023457030994106</v>
      </c>
      <c r="Q13" s="1"/>
      <c r="R13" s="8">
        <v>0.45</v>
      </c>
      <c r="S13" s="9">
        <v>-15.3</v>
      </c>
      <c r="T13" s="8">
        <f t="shared" si="4"/>
        <v>-0.27356904308223728</v>
      </c>
      <c r="U13" s="1"/>
      <c r="V13" s="1"/>
      <c r="W13" s="1"/>
      <c r="X13" s="1"/>
      <c r="Y13" s="1"/>
      <c r="Z13" s="1"/>
      <c r="AA13" s="1"/>
      <c r="AB13" s="1"/>
    </row>
    <row r="14" spans="1:28">
      <c r="A14" s="1"/>
      <c r="B14" s="8">
        <v>0.5</v>
      </c>
      <c r="C14" s="9">
        <v>36.4</v>
      </c>
      <c r="D14" s="8">
        <f t="shared" si="0"/>
        <v>0.73726358502586253</v>
      </c>
      <c r="E14" s="1"/>
      <c r="F14" s="8">
        <v>2.4900000000000002</v>
      </c>
      <c r="G14" s="9">
        <v>67.3</v>
      </c>
      <c r="H14" s="8">
        <f t="shared" si="1"/>
        <v>2.390576949507667</v>
      </c>
      <c r="I14" s="1"/>
      <c r="J14" s="8">
        <v>-0.51</v>
      </c>
      <c r="K14" s="9">
        <v>-9.1</v>
      </c>
      <c r="L14" s="8">
        <f t="shared" si="2"/>
        <v>-0.16017404878599298</v>
      </c>
      <c r="M14" s="1"/>
      <c r="N14" s="8">
        <v>-2.5</v>
      </c>
      <c r="O14" s="9">
        <v>-67.3</v>
      </c>
      <c r="P14" s="8">
        <f t="shared" si="3"/>
        <v>-2.390576949507667</v>
      </c>
      <c r="Q14" s="1"/>
      <c r="R14" s="8">
        <v>0.5</v>
      </c>
      <c r="S14" s="9">
        <v>9.1</v>
      </c>
      <c r="T14" s="8">
        <f t="shared" si="4"/>
        <v>0.16017404878599298</v>
      </c>
      <c r="U14" s="1"/>
      <c r="V14" s="1"/>
      <c r="W14" s="1"/>
      <c r="X14" s="1"/>
      <c r="Y14" s="1"/>
      <c r="Z14" s="1"/>
      <c r="AA14" s="1"/>
      <c r="AB14" s="1"/>
    </row>
    <row r="15" spans="1:28">
      <c r="A15" s="1"/>
      <c r="B15" s="8">
        <v>0.55000000000000004</v>
      </c>
      <c r="C15" s="9">
        <v>45</v>
      </c>
      <c r="D15" s="8">
        <f t="shared" si="0"/>
        <v>0.99999999999999989</v>
      </c>
      <c r="E15" s="1"/>
      <c r="F15" s="8">
        <v>2.44</v>
      </c>
      <c r="G15" s="9">
        <v>67.2</v>
      </c>
      <c r="H15" s="8">
        <f t="shared" si="1"/>
        <v>2.3789059945397661</v>
      </c>
      <c r="I15" s="1"/>
      <c r="J15" s="8">
        <v>-0.55000000000000004</v>
      </c>
      <c r="K15" s="9">
        <v>-25.2</v>
      </c>
      <c r="L15" s="8">
        <f t="shared" si="2"/>
        <v>-0.47056428121225147</v>
      </c>
      <c r="M15" s="1"/>
      <c r="N15" s="8">
        <v>-2.4500000000000002</v>
      </c>
      <c r="O15" s="9">
        <v>-67.2</v>
      </c>
      <c r="P15" s="8">
        <f t="shared" si="3"/>
        <v>-2.3789059945397661</v>
      </c>
      <c r="Q15" s="1"/>
      <c r="R15" s="8">
        <v>0.55000000000000004</v>
      </c>
      <c r="S15" s="9">
        <v>25.2</v>
      </c>
      <c r="T15" s="8">
        <f t="shared" si="4"/>
        <v>0.47056428121225147</v>
      </c>
      <c r="U15" s="1"/>
      <c r="V15" s="1"/>
      <c r="W15" s="1"/>
      <c r="X15" s="1"/>
      <c r="Y15" s="1"/>
      <c r="Z15" s="1"/>
      <c r="AA15" s="1"/>
      <c r="AB15" s="1"/>
    </row>
    <row r="16" spans="1:28">
      <c r="A16" s="1"/>
      <c r="B16" s="8">
        <v>0.6</v>
      </c>
      <c r="C16" s="9">
        <v>51.6</v>
      </c>
      <c r="D16" s="8">
        <f t="shared" si="0"/>
        <v>1.2616859984184432</v>
      </c>
      <c r="E16" s="1"/>
      <c r="F16" s="8">
        <v>2.4</v>
      </c>
      <c r="G16" s="9">
        <v>67.099999999999994</v>
      </c>
      <c r="H16" s="8">
        <f t="shared" si="1"/>
        <v>2.3673315539529405</v>
      </c>
      <c r="I16" s="1"/>
      <c r="J16" s="8">
        <v>-0.6</v>
      </c>
      <c r="K16" s="9">
        <v>-37.5</v>
      </c>
      <c r="L16" s="8">
        <f t="shared" si="2"/>
        <v>-0.76732698797896037</v>
      </c>
      <c r="M16" s="1"/>
      <c r="N16" s="8">
        <v>-2.4</v>
      </c>
      <c r="O16" s="9">
        <v>-67.099999999999994</v>
      </c>
      <c r="P16" s="8">
        <f t="shared" si="3"/>
        <v>-2.3673315539529405</v>
      </c>
      <c r="Q16" s="1"/>
      <c r="R16" s="8">
        <v>0.6</v>
      </c>
      <c r="S16" s="9">
        <v>37.5</v>
      </c>
      <c r="T16" s="8">
        <f t="shared" si="4"/>
        <v>0.76732698797896037</v>
      </c>
      <c r="U16" s="1"/>
      <c r="V16" s="1"/>
      <c r="W16" s="1"/>
      <c r="X16" s="1"/>
      <c r="Y16" s="1"/>
      <c r="Z16" s="1"/>
      <c r="AA16" s="1"/>
      <c r="AB16" s="1"/>
    </row>
    <row r="17" spans="1:28">
      <c r="A17" s="1"/>
      <c r="B17" s="8">
        <v>0.65</v>
      </c>
      <c r="C17" s="9">
        <v>54.8</v>
      </c>
      <c r="D17" s="8">
        <f t="shared" si="0"/>
        <v>1.4175903664888059</v>
      </c>
      <c r="E17" s="1"/>
      <c r="F17" s="8">
        <v>2.35</v>
      </c>
      <c r="G17" s="9">
        <v>67.099999999999994</v>
      </c>
      <c r="H17" s="8">
        <f t="shared" si="1"/>
        <v>2.3673315539529405</v>
      </c>
      <c r="I17" s="1"/>
      <c r="J17" s="8">
        <v>-0.65</v>
      </c>
      <c r="K17" s="9">
        <v>-43.5</v>
      </c>
      <c r="L17" s="8">
        <f t="shared" si="2"/>
        <v>-0.94896456671487961</v>
      </c>
      <c r="M17" s="1"/>
      <c r="N17" s="8">
        <v>-2.35</v>
      </c>
      <c r="O17" s="9">
        <v>-67.099999999999994</v>
      </c>
      <c r="P17" s="8">
        <f t="shared" si="3"/>
        <v>-2.3673315539529405</v>
      </c>
      <c r="Q17" s="1"/>
      <c r="R17" s="8">
        <v>0.65</v>
      </c>
      <c r="S17" s="9">
        <v>43.5</v>
      </c>
      <c r="T17" s="8">
        <f t="shared" si="4"/>
        <v>0.94896456671487961</v>
      </c>
      <c r="U17" s="1"/>
      <c r="V17" s="1"/>
      <c r="W17" s="1"/>
      <c r="X17" s="1"/>
      <c r="Y17" s="1"/>
      <c r="Z17" s="1"/>
      <c r="AA17" s="1"/>
      <c r="AB17" s="1"/>
    </row>
    <row r="18" spans="1:28">
      <c r="A18" s="1"/>
      <c r="B18" s="8">
        <v>0.71</v>
      </c>
      <c r="C18" s="9">
        <v>56.9</v>
      </c>
      <c r="D18" s="8">
        <f t="shared" si="0"/>
        <v>1.5339969024544566</v>
      </c>
      <c r="E18" s="1"/>
      <c r="F18" s="8">
        <v>2.2999999999999998</v>
      </c>
      <c r="G18" s="9">
        <v>67.099999999999994</v>
      </c>
      <c r="H18" s="8">
        <f t="shared" si="1"/>
        <v>2.3673315539529405</v>
      </c>
      <c r="I18" s="1"/>
      <c r="J18" s="8">
        <v>-0.7</v>
      </c>
      <c r="K18" s="9">
        <v>-46.8</v>
      </c>
      <c r="L18" s="8">
        <f t="shared" si="2"/>
        <v>-1.0648918403247916</v>
      </c>
      <c r="M18" s="1"/>
      <c r="N18" s="8">
        <v>-2.2999999999999998</v>
      </c>
      <c r="O18" s="9">
        <v>-67.099999999999994</v>
      </c>
      <c r="P18" s="8">
        <f t="shared" si="3"/>
        <v>-2.3673315539529405</v>
      </c>
      <c r="Q18" s="1"/>
      <c r="R18" s="8">
        <v>0.7</v>
      </c>
      <c r="S18" s="9">
        <v>46.8</v>
      </c>
      <c r="T18" s="8">
        <f t="shared" si="4"/>
        <v>1.0648918403247916</v>
      </c>
      <c r="U18" s="1"/>
      <c r="V18" s="1"/>
      <c r="W18" s="1"/>
      <c r="X18" s="1"/>
      <c r="Y18" s="1"/>
      <c r="Z18" s="1"/>
      <c r="AA18" s="1"/>
      <c r="AB18" s="1"/>
    </row>
    <row r="19" spans="1:28">
      <c r="A19" s="1"/>
      <c r="B19" s="8">
        <v>0.76</v>
      </c>
      <c r="C19" s="9">
        <v>57.9</v>
      </c>
      <c r="D19" s="8">
        <f t="shared" si="0"/>
        <v>1.5941365935723404</v>
      </c>
      <c r="E19" s="1"/>
      <c r="F19" s="8">
        <v>2.25</v>
      </c>
      <c r="G19" s="9">
        <v>67.099999999999994</v>
      </c>
      <c r="H19" s="8">
        <f t="shared" si="1"/>
        <v>2.3673315539529405</v>
      </c>
      <c r="I19" s="1"/>
      <c r="J19" s="8">
        <v>-0.75</v>
      </c>
      <c r="K19" s="9">
        <v>-49</v>
      </c>
      <c r="L19" s="8">
        <f t="shared" si="2"/>
        <v>-1.1503684072210094</v>
      </c>
      <c r="M19" s="1"/>
      <c r="N19" s="8">
        <v>-2.25</v>
      </c>
      <c r="O19" s="9">
        <v>-67.099999999999994</v>
      </c>
      <c r="P19" s="8">
        <f t="shared" si="3"/>
        <v>-2.3673315539529405</v>
      </c>
      <c r="Q19" s="1"/>
      <c r="R19" s="8">
        <v>0.75</v>
      </c>
      <c r="S19" s="9">
        <v>49</v>
      </c>
      <c r="T19" s="8">
        <f t="shared" si="4"/>
        <v>1.1503684072210094</v>
      </c>
      <c r="U19" s="1"/>
      <c r="V19" s="1"/>
      <c r="W19" s="1"/>
      <c r="X19" s="1"/>
      <c r="Y19" s="1"/>
      <c r="Z19" s="1"/>
      <c r="AA19" s="1"/>
      <c r="AB19" s="1"/>
    </row>
    <row r="20" spans="1:28">
      <c r="A20" s="1"/>
      <c r="B20" s="8">
        <v>0.8</v>
      </c>
      <c r="C20" s="9">
        <v>58.8</v>
      </c>
      <c r="D20" s="8">
        <f t="shared" si="0"/>
        <v>1.6511962594297764</v>
      </c>
      <c r="E20" s="1"/>
      <c r="F20" s="8">
        <v>2.2000000000000002</v>
      </c>
      <c r="G20" s="9">
        <v>67.099999999999994</v>
      </c>
      <c r="H20" s="8">
        <f t="shared" si="1"/>
        <v>2.3673315539529405</v>
      </c>
      <c r="I20" s="1"/>
      <c r="J20" s="8">
        <v>-0.81</v>
      </c>
      <c r="K20" s="9">
        <v>-51</v>
      </c>
      <c r="L20" s="8">
        <f t="shared" si="2"/>
        <v>-1.2348971565350515</v>
      </c>
      <c r="M20" s="1"/>
      <c r="N20" s="8">
        <v>-2.2000000000000002</v>
      </c>
      <c r="O20" s="9">
        <v>-67.099999999999994</v>
      </c>
      <c r="P20" s="8">
        <f t="shared" si="3"/>
        <v>-2.3673315539529405</v>
      </c>
      <c r="Q20" s="1"/>
      <c r="R20" s="8">
        <v>0.8</v>
      </c>
      <c r="S20" s="9">
        <v>51</v>
      </c>
      <c r="T20" s="8">
        <f t="shared" si="4"/>
        <v>1.2348971565350515</v>
      </c>
      <c r="U20" s="1"/>
      <c r="V20" s="1"/>
      <c r="W20" s="1"/>
      <c r="X20" s="1"/>
      <c r="Y20" s="1"/>
      <c r="Z20" s="1"/>
      <c r="AA20" s="1"/>
      <c r="AB20" s="1"/>
    </row>
    <row r="21" spans="1:28">
      <c r="A21" s="1"/>
      <c r="B21" s="8">
        <v>0.85</v>
      </c>
      <c r="C21" s="9">
        <v>59.7</v>
      </c>
      <c r="D21" s="8">
        <f t="shared" si="0"/>
        <v>1.7112949021069424</v>
      </c>
      <c r="E21" s="1"/>
      <c r="F21" s="8">
        <v>2.15</v>
      </c>
      <c r="G21" s="9">
        <v>67</v>
      </c>
      <c r="H21" s="8">
        <f t="shared" si="1"/>
        <v>2.3558523658237531</v>
      </c>
      <c r="I21" s="1"/>
      <c r="J21" s="8">
        <v>-0.85</v>
      </c>
      <c r="K21" s="9">
        <v>-52.7</v>
      </c>
      <c r="L21" s="8">
        <f t="shared" si="2"/>
        <v>-1.312687636440071</v>
      </c>
      <c r="M21" s="1"/>
      <c r="N21" s="8">
        <v>-2.15</v>
      </c>
      <c r="O21" s="9">
        <v>-67</v>
      </c>
      <c r="P21" s="8">
        <f t="shared" si="3"/>
        <v>-2.3558523658237531</v>
      </c>
      <c r="Q21" s="1"/>
      <c r="R21" s="8">
        <v>0.85</v>
      </c>
      <c r="S21" s="9">
        <v>52.7</v>
      </c>
      <c r="T21" s="8">
        <f t="shared" si="4"/>
        <v>1.312687636440071</v>
      </c>
      <c r="U21" s="1"/>
      <c r="V21" s="1"/>
      <c r="W21" s="1"/>
      <c r="X21" s="1"/>
      <c r="Y21" s="1"/>
      <c r="Z21" s="1"/>
      <c r="AA21" s="1"/>
      <c r="AB21" s="1"/>
    </row>
    <row r="22" spans="1:28">
      <c r="A22" s="1"/>
      <c r="B22" s="8">
        <v>0.9</v>
      </c>
      <c r="C22" s="9">
        <v>60.2</v>
      </c>
      <c r="D22" s="8">
        <f t="shared" si="0"/>
        <v>1.7460984305389278</v>
      </c>
      <c r="E22" s="1"/>
      <c r="F22" s="8">
        <v>2.09</v>
      </c>
      <c r="G22" s="9">
        <v>67</v>
      </c>
      <c r="H22" s="8">
        <f t="shared" si="1"/>
        <v>2.3558523658237531</v>
      </c>
      <c r="I22" s="1"/>
      <c r="J22" s="8">
        <v>-0.9</v>
      </c>
      <c r="K22" s="9">
        <v>-53.7</v>
      </c>
      <c r="L22" s="8">
        <f t="shared" si="2"/>
        <v>-1.3613350362962873</v>
      </c>
      <c r="M22" s="1"/>
      <c r="N22" s="8">
        <v>-2.1</v>
      </c>
      <c r="O22" s="9">
        <v>-67</v>
      </c>
      <c r="P22" s="8">
        <f t="shared" si="3"/>
        <v>-2.3558523658237531</v>
      </c>
      <c r="Q22" s="1"/>
      <c r="R22" s="8">
        <v>0.9</v>
      </c>
      <c r="S22" s="9">
        <v>53.7</v>
      </c>
      <c r="T22" s="8">
        <f t="shared" si="4"/>
        <v>1.3613350362962873</v>
      </c>
      <c r="U22" s="1"/>
      <c r="V22" s="1"/>
      <c r="W22" s="1"/>
      <c r="X22" s="1"/>
      <c r="Y22" s="1"/>
      <c r="Z22" s="1"/>
      <c r="AA22" s="1"/>
      <c r="AB22" s="1"/>
    </row>
    <row r="23" spans="1:28">
      <c r="A23" s="1"/>
      <c r="B23" s="8">
        <v>0.95</v>
      </c>
      <c r="C23" s="9">
        <v>61</v>
      </c>
      <c r="D23" s="8">
        <f t="shared" si="0"/>
        <v>1.8040477552714236</v>
      </c>
      <c r="E23" s="1"/>
      <c r="F23" s="8">
        <v>2.0499999999999998</v>
      </c>
      <c r="G23" s="9">
        <v>67</v>
      </c>
      <c r="H23" s="8">
        <f t="shared" si="1"/>
        <v>2.3558523658237531</v>
      </c>
      <c r="I23" s="1"/>
      <c r="J23" s="8">
        <v>-0.95</v>
      </c>
      <c r="K23" s="9">
        <v>-55.2</v>
      </c>
      <c r="L23" s="8">
        <f t="shared" si="2"/>
        <v>-1.4388114382235035</v>
      </c>
      <c r="M23" s="1"/>
      <c r="N23" s="8">
        <v>-2.0499999999999998</v>
      </c>
      <c r="O23" s="9">
        <v>-67</v>
      </c>
      <c r="P23" s="8">
        <f t="shared" si="3"/>
        <v>-2.3558523658237531</v>
      </c>
      <c r="Q23" s="1"/>
      <c r="R23" s="8">
        <v>0.95</v>
      </c>
      <c r="S23" s="9">
        <v>55.2</v>
      </c>
      <c r="T23" s="8">
        <f t="shared" si="4"/>
        <v>1.4388114382235035</v>
      </c>
      <c r="U23" s="1"/>
      <c r="V23" s="1"/>
      <c r="W23" s="1"/>
      <c r="X23" s="1"/>
      <c r="Y23" s="1"/>
      <c r="Z23" s="1"/>
      <c r="AA23" s="1"/>
      <c r="AB23" s="1"/>
    </row>
    <row r="24" spans="1:28">
      <c r="A24" s="1"/>
      <c r="B24" s="8">
        <v>1</v>
      </c>
      <c r="C24" s="9">
        <v>61.4</v>
      </c>
      <c r="D24" s="8">
        <f t="shared" si="0"/>
        <v>1.8341297451875926</v>
      </c>
      <c r="E24" s="1"/>
      <c r="F24" s="8">
        <v>2</v>
      </c>
      <c r="G24" s="9">
        <v>67</v>
      </c>
      <c r="H24" s="8">
        <f t="shared" si="1"/>
        <v>2.3558523658237531</v>
      </c>
      <c r="I24" s="1"/>
      <c r="J24" s="8">
        <v>-1.01</v>
      </c>
      <c r="K24" s="9">
        <v>-55.9</v>
      </c>
      <c r="L24" s="8">
        <f t="shared" si="2"/>
        <v>-1.4769938278509929</v>
      </c>
      <c r="M24" s="1"/>
      <c r="N24" s="8">
        <v>-2</v>
      </c>
      <c r="O24" s="9">
        <v>-67</v>
      </c>
      <c r="P24" s="8">
        <f t="shared" si="3"/>
        <v>-2.3558523658237531</v>
      </c>
      <c r="Q24" s="1"/>
      <c r="R24" s="8">
        <v>1</v>
      </c>
      <c r="S24" s="9">
        <v>55.9</v>
      </c>
      <c r="T24" s="8">
        <f t="shared" si="4"/>
        <v>1.4769938278509929</v>
      </c>
      <c r="U24" s="1"/>
      <c r="V24" s="1"/>
      <c r="W24" s="1"/>
      <c r="X24" s="1"/>
      <c r="Y24" s="1"/>
      <c r="Z24" s="1"/>
      <c r="AA24" s="1"/>
      <c r="AB24" s="1"/>
    </row>
    <row r="25" spans="1:28">
      <c r="A25" s="1"/>
      <c r="B25" s="8">
        <v>1.05</v>
      </c>
      <c r="C25" s="9">
        <v>62</v>
      </c>
      <c r="D25" s="8">
        <f t="shared" si="0"/>
        <v>1.8807264653463318</v>
      </c>
      <c r="E25" s="1"/>
      <c r="F25" s="8">
        <v>1.95</v>
      </c>
      <c r="G25" s="9">
        <v>66.900000000000006</v>
      </c>
      <c r="H25" s="8">
        <f t="shared" si="1"/>
        <v>2.3444671900649543</v>
      </c>
      <c r="I25" s="1"/>
      <c r="J25" s="8">
        <v>-1.05</v>
      </c>
      <c r="K25" s="9">
        <v>-57</v>
      </c>
      <c r="L25" s="8">
        <f t="shared" si="2"/>
        <v>-1.5398649638145829</v>
      </c>
      <c r="M25" s="1"/>
      <c r="N25" s="8">
        <v>-1.95</v>
      </c>
      <c r="O25" s="9">
        <v>-66.900000000000006</v>
      </c>
      <c r="P25" s="8">
        <f t="shared" si="3"/>
        <v>-2.3444671900649543</v>
      </c>
      <c r="Q25" s="1"/>
      <c r="R25" s="8">
        <v>1.05</v>
      </c>
      <c r="S25" s="9">
        <v>57</v>
      </c>
      <c r="T25" s="8">
        <f t="shared" si="4"/>
        <v>1.5398649638145829</v>
      </c>
      <c r="U25" s="1"/>
      <c r="V25" s="1"/>
      <c r="W25" s="1"/>
      <c r="X25" s="1"/>
      <c r="Y25" s="1"/>
      <c r="Z25" s="1"/>
      <c r="AA25" s="1"/>
      <c r="AB25" s="1"/>
    </row>
    <row r="26" spans="1:28">
      <c r="A26" s="1"/>
      <c r="B26" s="8">
        <v>1.1000000000000001</v>
      </c>
      <c r="C26" s="9">
        <v>62.5</v>
      </c>
      <c r="D26" s="8">
        <f t="shared" si="0"/>
        <v>1.9209821269711662</v>
      </c>
      <c r="E26" s="1"/>
      <c r="F26" s="8">
        <v>1.9</v>
      </c>
      <c r="G26" s="9">
        <v>66.900000000000006</v>
      </c>
      <c r="H26" s="8">
        <f t="shared" si="1"/>
        <v>2.3444671900649543</v>
      </c>
      <c r="I26" s="1"/>
      <c r="J26" s="8">
        <v>-1.1000000000000001</v>
      </c>
      <c r="K26" s="9">
        <v>-58</v>
      </c>
      <c r="L26" s="8">
        <f t="shared" si="2"/>
        <v>-1.6003345290410507</v>
      </c>
      <c r="M26" s="1"/>
      <c r="N26" s="8">
        <v>-1.9</v>
      </c>
      <c r="O26" s="9">
        <v>-66.900000000000006</v>
      </c>
      <c r="P26" s="8">
        <f t="shared" si="3"/>
        <v>-2.3444671900649543</v>
      </c>
      <c r="Q26" s="1"/>
      <c r="R26" s="8">
        <v>1.1000000000000001</v>
      </c>
      <c r="S26" s="9">
        <v>58</v>
      </c>
      <c r="T26" s="8">
        <f t="shared" si="4"/>
        <v>1.6003345290410507</v>
      </c>
      <c r="U26" s="1"/>
      <c r="V26" s="1"/>
      <c r="W26" s="1"/>
      <c r="X26" s="1"/>
      <c r="Y26" s="1"/>
      <c r="Z26" s="1"/>
      <c r="AA26" s="1"/>
      <c r="AB26" s="1"/>
    </row>
    <row r="27" spans="1:28">
      <c r="A27" s="1"/>
      <c r="B27" s="8">
        <v>1.1499999999999999</v>
      </c>
      <c r="C27" s="9">
        <v>62.8</v>
      </c>
      <c r="D27" s="8">
        <f t="shared" si="0"/>
        <v>1.9457895576435003</v>
      </c>
      <c r="E27" s="1"/>
      <c r="F27" s="8">
        <v>1.85</v>
      </c>
      <c r="G27" s="9">
        <v>66.900000000000006</v>
      </c>
      <c r="H27" s="8">
        <f t="shared" si="1"/>
        <v>2.3444671900649543</v>
      </c>
      <c r="I27" s="1"/>
      <c r="J27" s="8">
        <v>-1.1499999999999999</v>
      </c>
      <c r="K27" s="9">
        <v>-58.5</v>
      </c>
      <c r="L27" s="8">
        <f t="shared" si="2"/>
        <v>-1.6318516871287894</v>
      </c>
      <c r="M27" s="1"/>
      <c r="N27" s="8">
        <v>-1.85</v>
      </c>
      <c r="O27" s="9">
        <v>-66.900000000000006</v>
      </c>
      <c r="P27" s="8">
        <f t="shared" si="3"/>
        <v>-2.3444671900649543</v>
      </c>
      <c r="Q27" s="1"/>
      <c r="R27" s="8">
        <v>1.1499999999999999</v>
      </c>
      <c r="S27" s="9">
        <v>58.5</v>
      </c>
      <c r="T27" s="8">
        <f t="shared" si="4"/>
        <v>1.6318516871287894</v>
      </c>
      <c r="U27" s="1"/>
      <c r="V27" s="1"/>
      <c r="W27" s="1"/>
      <c r="X27" s="1"/>
      <c r="Y27" s="1"/>
      <c r="Z27" s="1"/>
      <c r="AA27" s="1"/>
      <c r="AB27" s="1"/>
    </row>
    <row r="28" spans="1:28">
      <c r="A28" s="1"/>
      <c r="B28" s="8">
        <v>1.2</v>
      </c>
      <c r="C28" s="9">
        <v>63.1</v>
      </c>
      <c r="D28" s="8">
        <f t="shared" si="0"/>
        <v>1.971107678634481</v>
      </c>
      <c r="E28" s="1"/>
      <c r="F28" s="8">
        <v>1.8</v>
      </c>
      <c r="G28" s="9">
        <v>66.8</v>
      </c>
      <c r="H28" s="8">
        <f t="shared" si="1"/>
        <v>2.3331748079548493</v>
      </c>
      <c r="I28" s="1"/>
      <c r="J28" s="8">
        <v>-1.2</v>
      </c>
      <c r="K28" s="9">
        <v>-59.1</v>
      </c>
      <c r="L28" s="8">
        <f t="shared" si="2"/>
        <v>-1.6708782445123791</v>
      </c>
      <c r="M28" s="1"/>
      <c r="N28" s="8">
        <v>-1.8</v>
      </c>
      <c r="O28" s="9">
        <v>-66.8</v>
      </c>
      <c r="P28" s="8">
        <f t="shared" si="3"/>
        <v>-2.3331748079548493</v>
      </c>
      <c r="Q28" s="1"/>
      <c r="R28" s="8">
        <v>1.2</v>
      </c>
      <c r="S28" s="9">
        <v>59.1</v>
      </c>
      <c r="T28" s="8">
        <f t="shared" si="4"/>
        <v>1.6708782445123791</v>
      </c>
      <c r="U28" s="1"/>
      <c r="V28" s="1"/>
      <c r="W28" s="1"/>
      <c r="X28" s="1"/>
      <c r="Y28" s="1"/>
      <c r="Z28" s="1"/>
      <c r="AA28" s="1"/>
      <c r="AB28" s="1"/>
    </row>
    <row r="29" spans="1:28">
      <c r="A29" s="1"/>
      <c r="B29" s="8">
        <v>1.25</v>
      </c>
      <c r="C29" s="9">
        <v>63.4</v>
      </c>
      <c r="D29" s="8">
        <f t="shared" si="0"/>
        <v>1.9969538555995485</v>
      </c>
      <c r="E29" s="1"/>
      <c r="F29" s="8">
        <v>1.75</v>
      </c>
      <c r="G29" s="9">
        <v>66.8</v>
      </c>
      <c r="H29" s="8">
        <f t="shared" si="1"/>
        <v>2.3331748079548493</v>
      </c>
      <c r="I29" s="1"/>
      <c r="J29" s="8">
        <v>-1.25</v>
      </c>
      <c r="K29" s="9">
        <v>-59.6</v>
      </c>
      <c r="L29" s="8">
        <f t="shared" si="2"/>
        <v>-1.7044587344980777</v>
      </c>
      <c r="M29" s="1"/>
      <c r="N29" s="8">
        <v>-1.75</v>
      </c>
      <c r="O29" s="9">
        <v>-66.8</v>
      </c>
      <c r="P29" s="8">
        <f t="shared" si="3"/>
        <v>-2.3331748079548493</v>
      </c>
      <c r="Q29" s="1"/>
      <c r="R29" s="8">
        <v>1.25</v>
      </c>
      <c r="S29" s="9">
        <v>59.6</v>
      </c>
      <c r="T29" s="8">
        <f t="shared" si="4"/>
        <v>1.7044587344980777</v>
      </c>
      <c r="U29" s="1"/>
      <c r="V29" s="1"/>
      <c r="W29" s="1"/>
      <c r="X29" s="1"/>
      <c r="Y29" s="1"/>
      <c r="Z29" s="1"/>
      <c r="AA29" s="1"/>
      <c r="AB29" s="1"/>
    </row>
    <row r="30" spans="1:28">
      <c r="A30" s="1"/>
      <c r="B30" s="8">
        <v>1.3</v>
      </c>
      <c r="C30" s="9">
        <v>63.8</v>
      </c>
      <c r="D30" s="8">
        <f t="shared" si="0"/>
        <v>2.0322683470689076</v>
      </c>
      <c r="E30" s="1"/>
      <c r="F30" s="8">
        <v>1.7</v>
      </c>
      <c r="G30" s="9">
        <v>66.7</v>
      </c>
      <c r="H30" s="8">
        <f t="shared" si="1"/>
        <v>2.321974021678793</v>
      </c>
      <c r="I30" s="1"/>
      <c r="J30" s="8">
        <v>-1.3</v>
      </c>
      <c r="K30" s="9">
        <v>-60.4</v>
      </c>
      <c r="L30" s="8">
        <f t="shared" si="2"/>
        <v>-1.7603183457965603</v>
      </c>
      <c r="M30" s="1"/>
      <c r="N30" s="8">
        <v>-1.7</v>
      </c>
      <c r="O30" s="9">
        <v>-66.7</v>
      </c>
      <c r="P30" s="8">
        <f t="shared" si="3"/>
        <v>-2.321974021678793</v>
      </c>
      <c r="Q30" s="1"/>
      <c r="R30" s="8">
        <v>1.3</v>
      </c>
      <c r="S30" s="9">
        <v>60.4</v>
      </c>
      <c r="T30" s="8">
        <f t="shared" si="4"/>
        <v>1.7603183457965603</v>
      </c>
      <c r="U30" s="1"/>
      <c r="V30" s="1"/>
      <c r="W30" s="1"/>
      <c r="X30" s="1"/>
      <c r="Y30" s="1"/>
      <c r="Z30" s="1"/>
      <c r="AA30" s="1"/>
      <c r="AB30" s="1"/>
    </row>
    <row r="31" spans="1:28">
      <c r="A31" s="1"/>
      <c r="B31" s="8">
        <v>1.35</v>
      </c>
      <c r="C31" s="9">
        <v>64</v>
      </c>
      <c r="D31" s="8">
        <f t="shared" si="0"/>
        <v>2.050303841579296</v>
      </c>
      <c r="E31" s="1"/>
      <c r="F31" s="8">
        <v>1.65</v>
      </c>
      <c r="G31" s="9">
        <v>66.599999999999994</v>
      </c>
      <c r="H31" s="8">
        <f t="shared" si="1"/>
        <v>2.3108636538824094</v>
      </c>
      <c r="I31" s="1"/>
      <c r="J31" s="8">
        <v>-1.35</v>
      </c>
      <c r="K31" s="9">
        <v>-60.8</v>
      </c>
      <c r="L31" s="8">
        <f t="shared" si="2"/>
        <v>-1.789289319003883</v>
      </c>
      <c r="M31" s="1"/>
      <c r="N31" s="8">
        <v>-1.65</v>
      </c>
      <c r="O31" s="9">
        <v>-66.599999999999994</v>
      </c>
      <c r="P31" s="8">
        <f t="shared" si="3"/>
        <v>-2.3108636538824094</v>
      </c>
      <c r="Q31" s="1"/>
      <c r="R31" s="8">
        <v>1.35</v>
      </c>
      <c r="S31" s="9">
        <v>60.8</v>
      </c>
      <c r="T31" s="8">
        <f t="shared" si="4"/>
        <v>1.789289319003883</v>
      </c>
      <c r="U31" s="1"/>
      <c r="V31" s="1"/>
      <c r="W31" s="1"/>
      <c r="X31" s="1"/>
      <c r="Y31" s="1"/>
      <c r="Z31" s="1"/>
      <c r="AA31" s="1"/>
      <c r="AB31" s="1"/>
    </row>
    <row r="32" spans="1:28">
      <c r="A32" s="1"/>
      <c r="B32" s="8">
        <v>1.4</v>
      </c>
      <c r="C32" s="9">
        <v>64.2</v>
      </c>
      <c r="D32" s="8">
        <f t="shared" si="0"/>
        <v>2.0685993549187924</v>
      </c>
      <c r="E32" s="1"/>
      <c r="F32" s="8">
        <v>1.6</v>
      </c>
      <c r="G32" s="9">
        <v>66.5</v>
      </c>
      <c r="H32" s="8">
        <f t="shared" si="1"/>
        <v>2.2998425472362567</v>
      </c>
      <c r="I32" s="1"/>
      <c r="J32" s="8">
        <v>-1.4</v>
      </c>
      <c r="K32" s="9">
        <v>-61.1</v>
      </c>
      <c r="L32" s="8">
        <f t="shared" si="2"/>
        <v>-1.8114968749814369</v>
      </c>
      <c r="M32" s="1"/>
      <c r="N32" s="8">
        <v>-1.6</v>
      </c>
      <c r="O32" s="9">
        <v>-66.5</v>
      </c>
      <c r="P32" s="8">
        <f t="shared" si="3"/>
        <v>-2.2998425472362567</v>
      </c>
      <c r="Q32" s="1"/>
      <c r="R32" s="8">
        <v>1.4</v>
      </c>
      <c r="S32" s="9">
        <v>61.1</v>
      </c>
      <c r="T32" s="8">
        <f t="shared" si="4"/>
        <v>1.8114968749814369</v>
      </c>
      <c r="U32" s="1"/>
      <c r="V32" s="1"/>
      <c r="W32" s="1"/>
      <c r="X32" s="1"/>
      <c r="Y32" s="1"/>
      <c r="Z32" s="1"/>
      <c r="AA32" s="1"/>
      <c r="AB32" s="1"/>
    </row>
    <row r="33" spans="1:28">
      <c r="A33" s="1"/>
      <c r="B33" s="8">
        <v>1.45</v>
      </c>
      <c r="C33" s="9">
        <v>64.5</v>
      </c>
      <c r="D33" s="8">
        <f t="shared" si="0"/>
        <v>2.0965435990881738</v>
      </c>
      <c r="E33" s="1"/>
      <c r="F33" s="8">
        <v>1.55</v>
      </c>
      <c r="G33" s="9">
        <v>66.400000000000006</v>
      </c>
      <c r="H33" s="8">
        <f t="shared" si="1"/>
        <v>2.2889095640115285</v>
      </c>
      <c r="I33" s="1"/>
      <c r="J33" s="8">
        <v>-1.45</v>
      </c>
      <c r="K33" s="9">
        <v>-61.7</v>
      </c>
      <c r="L33" s="8">
        <f t="shared" si="2"/>
        <v>-1.8572015433137625</v>
      </c>
      <c r="M33" s="1"/>
      <c r="N33" s="8">
        <v>-1.55</v>
      </c>
      <c r="O33" s="9">
        <v>-66.400000000000006</v>
      </c>
      <c r="P33" s="8">
        <f t="shared" si="3"/>
        <v>-2.2889095640115285</v>
      </c>
      <c r="Q33" s="1"/>
      <c r="R33" s="8">
        <v>1.45</v>
      </c>
      <c r="S33" s="9">
        <v>61.7</v>
      </c>
      <c r="T33" s="8">
        <f t="shared" si="4"/>
        <v>1.8572015433137625</v>
      </c>
      <c r="U33" s="1"/>
      <c r="V33" s="1"/>
      <c r="W33" s="1"/>
      <c r="X33" s="1"/>
      <c r="Y33" s="1"/>
      <c r="Z33" s="1"/>
      <c r="AA33" s="1"/>
      <c r="AB33" s="1"/>
    </row>
    <row r="34" spans="1:28">
      <c r="A34" s="1"/>
      <c r="B34" s="8">
        <v>1.5</v>
      </c>
      <c r="C34" s="9">
        <v>64.7</v>
      </c>
      <c r="D34" s="8">
        <f t="shared" si="0"/>
        <v>2.1155163555319136</v>
      </c>
      <c r="E34" s="1"/>
      <c r="F34" s="8">
        <v>1.5</v>
      </c>
      <c r="G34" s="9">
        <v>66.3</v>
      </c>
      <c r="H34" s="8">
        <f t="shared" si="1"/>
        <v>2.278063585666517</v>
      </c>
      <c r="I34" s="1"/>
      <c r="J34" s="8">
        <v>-1.5</v>
      </c>
      <c r="K34" s="9">
        <v>-62.1</v>
      </c>
      <c r="L34" s="8">
        <f t="shared" si="2"/>
        <v>-1.8886713416310679</v>
      </c>
      <c r="M34" s="1"/>
      <c r="N34" s="8">
        <v>-1.5</v>
      </c>
      <c r="O34" s="9">
        <v>-66.3</v>
      </c>
      <c r="P34" s="8">
        <f t="shared" si="3"/>
        <v>-2.278063585666517</v>
      </c>
      <c r="Q34" s="1"/>
      <c r="R34" s="8">
        <v>1.5</v>
      </c>
      <c r="S34" s="9">
        <v>62.1</v>
      </c>
      <c r="T34" s="8">
        <f t="shared" si="4"/>
        <v>1.8886713416310679</v>
      </c>
      <c r="U34" s="1"/>
      <c r="V34" s="1"/>
      <c r="W34" s="1"/>
      <c r="X34" s="1"/>
      <c r="Y34" s="1"/>
      <c r="Z34" s="1"/>
      <c r="AA34" s="1"/>
      <c r="AB34" s="1"/>
    </row>
    <row r="35" spans="1:28">
      <c r="A35" s="1"/>
      <c r="B35" s="8">
        <v>1.55</v>
      </c>
      <c r="C35" s="9">
        <v>64.900000000000006</v>
      </c>
      <c r="D35" s="8">
        <f t="shared" si="0"/>
        <v>2.1347714081041396</v>
      </c>
      <c r="E35" s="1"/>
      <c r="F35" s="8">
        <v>1.45</v>
      </c>
      <c r="G35" s="9">
        <v>66.2</v>
      </c>
      <c r="H35" s="8">
        <f t="shared" si="1"/>
        <v>2.2673035124434944</v>
      </c>
      <c r="I35" s="1"/>
      <c r="J35" s="8">
        <v>-1.55</v>
      </c>
      <c r="K35" s="9">
        <v>-62.5</v>
      </c>
      <c r="L35" s="8">
        <f t="shared" si="2"/>
        <v>-1.9209821269711662</v>
      </c>
      <c r="M35" s="1"/>
      <c r="N35" s="8">
        <v>-1.45</v>
      </c>
      <c r="O35" s="9">
        <v>-66.2</v>
      </c>
      <c r="P35" s="8">
        <f t="shared" si="3"/>
        <v>-2.2673035124434944</v>
      </c>
      <c r="Q35" s="1"/>
      <c r="R35" s="8">
        <v>1.55</v>
      </c>
      <c r="S35" s="9">
        <v>62.5</v>
      </c>
      <c r="T35" s="8">
        <f t="shared" si="4"/>
        <v>1.9209821269711662</v>
      </c>
      <c r="U35" s="1"/>
      <c r="V35" s="1"/>
      <c r="W35" s="1"/>
      <c r="X35" s="1"/>
      <c r="Y35" s="1"/>
      <c r="Z35" s="1"/>
      <c r="AA35" s="1"/>
      <c r="AB35" s="1"/>
    </row>
    <row r="36" spans="1:28">
      <c r="A36" s="1"/>
      <c r="B36" s="8">
        <v>1.6</v>
      </c>
      <c r="C36" s="9">
        <v>65</v>
      </c>
      <c r="D36" s="8">
        <f t="shared" si="0"/>
        <v>2.1445069205095586</v>
      </c>
      <c r="E36" s="1"/>
      <c r="F36" s="8">
        <v>1.4</v>
      </c>
      <c r="G36" s="9">
        <v>66.099999999999994</v>
      </c>
      <c r="H36" s="8">
        <f t="shared" si="1"/>
        <v>2.2566282629757084</v>
      </c>
      <c r="I36" s="1"/>
      <c r="J36" s="8">
        <v>-1.6</v>
      </c>
      <c r="K36" s="9">
        <v>-62.6</v>
      </c>
      <c r="L36" s="8">
        <f t="shared" si="2"/>
        <v>-1.929195567862757</v>
      </c>
      <c r="M36" s="1"/>
      <c r="N36" s="8">
        <v>-1.4</v>
      </c>
      <c r="O36" s="9">
        <v>-66.099999999999994</v>
      </c>
      <c r="P36" s="8">
        <f t="shared" si="3"/>
        <v>-2.2566282629757084</v>
      </c>
      <c r="Q36" s="1"/>
      <c r="R36" s="8">
        <v>1.6</v>
      </c>
      <c r="S36" s="9">
        <v>62.6</v>
      </c>
      <c r="T36" s="8">
        <f t="shared" si="4"/>
        <v>1.929195567862757</v>
      </c>
      <c r="U36" s="1"/>
      <c r="V36" s="1"/>
      <c r="W36" s="1"/>
      <c r="X36" s="1"/>
      <c r="Y36" s="1"/>
      <c r="Z36" s="1"/>
      <c r="AA36" s="1"/>
      <c r="AB36" s="1"/>
    </row>
    <row r="37" spans="1:28">
      <c r="A37" s="1"/>
      <c r="B37" s="8">
        <v>1.67</v>
      </c>
      <c r="C37" s="9">
        <v>65.099999999999994</v>
      </c>
      <c r="D37" s="8">
        <f t="shared" si="0"/>
        <v>2.1543155843129504</v>
      </c>
      <c r="E37" s="1"/>
      <c r="F37" s="8">
        <v>1.35</v>
      </c>
      <c r="G37" s="9">
        <v>66</v>
      </c>
      <c r="H37" s="8">
        <f t="shared" si="1"/>
        <v>2.2460367739042164</v>
      </c>
      <c r="I37" s="1"/>
      <c r="J37" s="8">
        <v>-1.65</v>
      </c>
      <c r="K37" s="9">
        <v>-62.8</v>
      </c>
      <c r="L37" s="8">
        <f t="shared" si="2"/>
        <v>-1.9457895576435003</v>
      </c>
      <c r="M37" s="1"/>
      <c r="N37" s="8">
        <v>-1.35</v>
      </c>
      <c r="O37" s="9">
        <v>-66</v>
      </c>
      <c r="P37" s="8">
        <f t="shared" si="3"/>
        <v>-2.2460367739042164</v>
      </c>
      <c r="Q37" s="1"/>
      <c r="R37" s="8">
        <v>1.65</v>
      </c>
      <c r="S37" s="9">
        <v>62.8</v>
      </c>
      <c r="T37" s="8">
        <f t="shared" si="4"/>
        <v>1.9457895576435003</v>
      </c>
      <c r="U37" s="1"/>
      <c r="V37" s="1"/>
      <c r="W37" s="1"/>
      <c r="X37" s="1"/>
      <c r="Y37" s="1"/>
      <c r="Z37" s="1"/>
      <c r="AA37" s="1"/>
      <c r="AB37" s="1"/>
    </row>
    <row r="38" spans="1:28">
      <c r="A38" s="1"/>
      <c r="B38" s="8">
        <v>1.7</v>
      </c>
      <c r="C38" s="9">
        <v>65.2</v>
      </c>
      <c r="D38" s="8">
        <f t="shared" si="0"/>
        <v>2.1641982875347678</v>
      </c>
      <c r="E38" s="1"/>
      <c r="F38" s="8">
        <v>1.3</v>
      </c>
      <c r="G38" s="9">
        <v>66</v>
      </c>
      <c r="H38" s="8">
        <f t="shared" si="1"/>
        <v>2.2460367739042164</v>
      </c>
      <c r="I38" s="1"/>
      <c r="J38" s="8">
        <v>-1.7</v>
      </c>
      <c r="K38" s="9">
        <v>-63</v>
      </c>
      <c r="L38" s="8">
        <f t="shared" si="2"/>
        <v>-1.9626105055051504</v>
      </c>
      <c r="M38" s="1"/>
      <c r="N38" s="8">
        <v>-1.3</v>
      </c>
      <c r="O38" s="9">
        <v>-66</v>
      </c>
      <c r="P38" s="8">
        <f t="shared" si="3"/>
        <v>-2.2460367739042164</v>
      </c>
      <c r="Q38" s="1"/>
      <c r="R38" s="8">
        <v>1.7</v>
      </c>
      <c r="S38" s="9">
        <v>63</v>
      </c>
      <c r="T38" s="8">
        <f t="shared" si="4"/>
        <v>1.9626105055051504</v>
      </c>
      <c r="U38" s="1"/>
      <c r="V38" s="1"/>
      <c r="W38" s="1"/>
      <c r="X38" s="1"/>
      <c r="Y38" s="1"/>
      <c r="Z38" s="1"/>
      <c r="AA38" s="1"/>
      <c r="AB38" s="1"/>
    </row>
    <row r="39" spans="1:28">
      <c r="A39" s="1"/>
      <c r="B39" s="8">
        <v>1.75</v>
      </c>
      <c r="C39" s="9">
        <v>65.2</v>
      </c>
      <c r="D39" s="8">
        <f t="shared" si="0"/>
        <v>2.1641982875347678</v>
      </c>
      <c r="E39" s="1"/>
      <c r="F39" s="8">
        <v>1.25</v>
      </c>
      <c r="G39" s="9">
        <v>66</v>
      </c>
      <c r="H39" s="8">
        <f t="shared" si="1"/>
        <v>2.2460367739042164</v>
      </c>
      <c r="I39" s="1"/>
      <c r="J39" s="8">
        <v>-1.75</v>
      </c>
      <c r="K39" s="9">
        <v>-63</v>
      </c>
      <c r="L39" s="8">
        <f t="shared" si="2"/>
        <v>-1.9626105055051504</v>
      </c>
      <c r="M39" s="1"/>
      <c r="N39" s="8">
        <v>-1.25</v>
      </c>
      <c r="O39" s="9">
        <v>-66</v>
      </c>
      <c r="P39" s="8">
        <f t="shared" si="3"/>
        <v>-2.2460367739042164</v>
      </c>
      <c r="Q39" s="1"/>
      <c r="R39" s="8">
        <v>1.75</v>
      </c>
      <c r="S39" s="9">
        <v>63</v>
      </c>
      <c r="T39" s="8">
        <f t="shared" si="4"/>
        <v>1.9626105055051504</v>
      </c>
      <c r="U39" s="1"/>
      <c r="V39" s="1"/>
      <c r="W39" s="1"/>
      <c r="X39" s="1"/>
      <c r="Y39" s="1"/>
      <c r="Z39" s="1"/>
      <c r="AA39" s="1"/>
      <c r="AB39" s="1"/>
    </row>
    <row r="40" spans="1:28">
      <c r="A40" s="1"/>
      <c r="B40" s="8">
        <v>1.8</v>
      </c>
      <c r="C40" s="9">
        <v>65.3</v>
      </c>
      <c r="D40" s="8">
        <f t="shared" si="0"/>
        <v>2.1741559325614914</v>
      </c>
      <c r="E40" s="1"/>
      <c r="F40" s="8">
        <v>1.2</v>
      </c>
      <c r="G40" s="9">
        <v>65.900000000000006</v>
      </c>
      <c r="H40" s="8">
        <f t="shared" si="1"/>
        <v>2.235527999504241</v>
      </c>
      <c r="I40" s="1"/>
      <c r="J40" s="8">
        <v>-1.8</v>
      </c>
      <c r="K40" s="9">
        <v>-63.2</v>
      </c>
      <c r="L40" s="8">
        <f t="shared" si="2"/>
        <v>-1.9796635181412774</v>
      </c>
      <c r="M40" s="1"/>
      <c r="N40" s="8">
        <v>-1.2</v>
      </c>
      <c r="O40" s="9">
        <v>-65.900000000000006</v>
      </c>
      <c r="P40" s="8">
        <f t="shared" si="3"/>
        <v>-2.235527999504241</v>
      </c>
      <c r="Q40" s="1"/>
      <c r="R40" s="8">
        <v>1.8</v>
      </c>
      <c r="S40" s="9">
        <v>63.2</v>
      </c>
      <c r="T40" s="8">
        <f t="shared" si="4"/>
        <v>1.9796635181412774</v>
      </c>
      <c r="U40" s="1"/>
      <c r="V40" s="1"/>
      <c r="W40" s="1"/>
      <c r="X40" s="1"/>
      <c r="Y40" s="1"/>
      <c r="Z40" s="1"/>
      <c r="AA40" s="1"/>
      <c r="AB40" s="1"/>
    </row>
    <row r="41" spans="1:28">
      <c r="A41" s="1"/>
      <c r="B41" s="8">
        <v>1.85</v>
      </c>
      <c r="C41" s="9">
        <v>65.8</v>
      </c>
      <c r="D41" s="8">
        <f t="shared" si="0"/>
        <v>2.2251009113208058</v>
      </c>
      <c r="E41" s="1"/>
      <c r="F41" s="8">
        <v>1.1499999999999999</v>
      </c>
      <c r="G41" s="9">
        <v>65.8</v>
      </c>
      <c r="H41" s="8">
        <f t="shared" si="1"/>
        <v>2.2251009113208058</v>
      </c>
      <c r="I41" s="1"/>
      <c r="J41" s="8">
        <v>-1.85</v>
      </c>
      <c r="K41" s="9">
        <v>-64.099999999999994</v>
      </c>
      <c r="L41" s="8">
        <f t="shared" si="2"/>
        <v>-2.0594187178508694</v>
      </c>
      <c r="M41" s="1"/>
      <c r="N41" s="8">
        <v>-1.1499999999999999</v>
      </c>
      <c r="O41" s="9">
        <v>-65.8</v>
      </c>
      <c r="P41" s="8">
        <f t="shared" si="3"/>
        <v>-2.2251009113208058</v>
      </c>
      <c r="Q41" s="1"/>
      <c r="R41" s="8">
        <v>1.85</v>
      </c>
      <c r="S41" s="9">
        <v>64.099999999999994</v>
      </c>
      <c r="T41" s="8">
        <f t="shared" si="4"/>
        <v>2.0594187178508694</v>
      </c>
      <c r="U41" s="1"/>
      <c r="V41" s="1"/>
      <c r="W41" s="1"/>
      <c r="X41" s="1"/>
      <c r="Y41" s="1"/>
      <c r="Z41" s="1"/>
      <c r="AA41" s="1"/>
      <c r="AB41" s="1"/>
    </row>
    <row r="42" spans="1:28">
      <c r="A42" s="1"/>
      <c r="B42" s="8">
        <v>1.9</v>
      </c>
      <c r="C42" s="9">
        <v>65.900000000000006</v>
      </c>
      <c r="D42" s="8">
        <f t="shared" si="0"/>
        <v>2.235527999504241</v>
      </c>
      <c r="E42" s="1"/>
      <c r="F42" s="8">
        <v>1.07</v>
      </c>
      <c r="G42" s="9">
        <v>65.599999999999994</v>
      </c>
      <c r="H42" s="8">
        <f t="shared" si="1"/>
        <v>2.2044877640091447</v>
      </c>
      <c r="I42" s="1"/>
      <c r="J42" s="8">
        <v>-1.9</v>
      </c>
      <c r="K42" s="9">
        <v>-64.3</v>
      </c>
      <c r="L42" s="8">
        <f t="shared" si="2"/>
        <v>-2.0778465235638057</v>
      </c>
      <c r="M42" s="1"/>
      <c r="N42" s="8">
        <v>-1.1000000000000001</v>
      </c>
      <c r="O42" s="9">
        <v>-65.7</v>
      </c>
      <c r="P42" s="8">
        <f t="shared" si="3"/>
        <v>-2.2147544978133622</v>
      </c>
      <c r="Q42" s="1"/>
      <c r="R42" s="8">
        <v>1.9</v>
      </c>
      <c r="S42" s="9">
        <v>64.3</v>
      </c>
      <c r="T42" s="8">
        <f t="shared" si="4"/>
        <v>2.0778465235638057</v>
      </c>
      <c r="U42" s="1"/>
      <c r="V42" s="1"/>
      <c r="W42" s="1"/>
      <c r="X42" s="1"/>
      <c r="Y42" s="1"/>
      <c r="Z42" s="1"/>
      <c r="AA42" s="1"/>
      <c r="AB42" s="1"/>
    </row>
    <row r="43" spans="1:28">
      <c r="A43" s="1"/>
      <c r="B43" s="8">
        <v>1.95</v>
      </c>
      <c r="C43" s="9">
        <v>66</v>
      </c>
      <c r="D43" s="8">
        <f t="shared" si="0"/>
        <v>2.2460367739042164</v>
      </c>
      <c r="E43" s="1"/>
      <c r="F43" s="8">
        <v>1.05</v>
      </c>
      <c r="G43" s="9">
        <v>65.5</v>
      </c>
      <c r="H43" s="8">
        <f t="shared" si="1"/>
        <v>2.1942997311650374</v>
      </c>
      <c r="I43" s="1"/>
      <c r="J43" s="8">
        <v>-1.96</v>
      </c>
      <c r="K43" s="9">
        <v>-64.5</v>
      </c>
      <c r="L43" s="8">
        <f t="shared" si="2"/>
        <v>-2.0965435990881738</v>
      </c>
      <c r="M43" s="1"/>
      <c r="N43" s="8">
        <v>-1.05</v>
      </c>
      <c r="O43" s="9">
        <v>-65.5</v>
      </c>
      <c r="P43" s="8">
        <f t="shared" si="3"/>
        <v>-2.1942997311650374</v>
      </c>
      <c r="Q43" s="1"/>
      <c r="R43" s="8">
        <v>1.95</v>
      </c>
      <c r="S43" s="9">
        <v>64.5</v>
      </c>
      <c r="T43" s="8">
        <f t="shared" si="4"/>
        <v>2.0965435990881738</v>
      </c>
      <c r="U43" s="1"/>
      <c r="V43" s="1"/>
      <c r="W43" s="1"/>
      <c r="X43" s="1"/>
      <c r="Y43" s="1"/>
      <c r="Z43" s="1"/>
      <c r="AA43" s="1"/>
      <c r="AB43" s="1"/>
    </row>
    <row r="44" spans="1:28">
      <c r="A44" s="1"/>
      <c r="B44" s="8">
        <v>2</v>
      </c>
      <c r="C44" s="9">
        <v>66.099999999999994</v>
      </c>
      <c r="D44" s="8">
        <f t="shared" si="0"/>
        <v>2.2566282629757084</v>
      </c>
      <c r="E44" s="1"/>
      <c r="F44" s="8">
        <v>1</v>
      </c>
      <c r="G44" s="9">
        <v>65.400000000000006</v>
      </c>
      <c r="H44" s="8">
        <f t="shared" si="1"/>
        <v>2.1841894364376606</v>
      </c>
      <c r="I44" s="1"/>
      <c r="J44" s="8">
        <v>-2</v>
      </c>
      <c r="K44" s="9">
        <v>-64.7</v>
      </c>
      <c r="L44" s="8">
        <f t="shared" si="2"/>
        <v>-2.1155163555319136</v>
      </c>
      <c r="M44" s="1"/>
      <c r="N44" s="8">
        <v>-1</v>
      </c>
      <c r="O44" s="9">
        <v>-65.400000000000006</v>
      </c>
      <c r="P44" s="8">
        <f t="shared" si="3"/>
        <v>-2.1841894364376606</v>
      </c>
      <c r="Q44" s="1"/>
      <c r="R44" s="8">
        <v>2</v>
      </c>
      <c r="S44" s="9">
        <v>64.7</v>
      </c>
      <c r="T44" s="8">
        <f t="shared" si="4"/>
        <v>2.1155163555319136</v>
      </c>
      <c r="U44" s="1"/>
      <c r="V44" s="1"/>
      <c r="W44" s="1"/>
      <c r="X44" s="1"/>
      <c r="Y44" s="1"/>
      <c r="Z44" s="1"/>
      <c r="AA44" s="1"/>
      <c r="AB44" s="1"/>
    </row>
    <row r="45" spans="1:28">
      <c r="A45" s="1"/>
      <c r="B45" s="8">
        <v>2.0499999999999998</v>
      </c>
      <c r="C45" s="9">
        <v>66.2</v>
      </c>
      <c r="D45" s="8">
        <f t="shared" si="0"/>
        <v>2.2673035124434944</v>
      </c>
      <c r="E45" s="1"/>
      <c r="F45" s="8">
        <v>0.95</v>
      </c>
      <c r="G45" s="9">
        <v>65.2</v>
      </c>
      <c r="H45" s="8">
        <f t="shared" si="1"/>
        <v>2.1641982875347678</v>
      </c>
      <c r="I45" s="1"/>
      <c r="J45" s="8">
        <v>-2.0499999999999998</v>
      </c>
      <c r="K45" s="9">
        <v>-64.900000000000006</v>
      </c>
      <c r="L45" s="8">
        <f t="shared" si="2"/>
        <v>-2.1347714081041396</v>
      </c>
      <c r="M45" s="1"/>
      <c r="N45" s="8">
        <v>-0.95</v>
      </c>
      <c r="O45" s="9">
        <v>-65.2</v>
      </c>
      <c r="P45" s="8">
        <f t="shared" si="3"/>
        <v>-2.1641982875347678</v>
      </c>
      <c r="Q45" s="1"/>
      <c r="R45" s="8">
        <v>2.0499999999999998</v>
      </c>
      <c r="S45" s="9">
        <v>64.900000000000006</v>
      </c>
      <c r="T45" s="8">
        <f t="shared" si="4"/>
        <v>2.1347714081041396</v>
      </c>
      <c r="U45" s="1"/>
      <c r="V45" s="1"/>
      <c r="W45" s="1"/>
      <c r="X45" s="1"/>
      <c r="Y45" s="1"/>
      <c r="Z45" s="1"/>
      <c r="AA45" s="1"/>
      <c r="AB45" s="1"/>
    </row>
    <row r="46" spans="1:28">
      <c r="A46" s="1"/>
      <c r="B46" s="8">
        <v>2.1</v>
      </c>
      <c r="C46" s="9">
        <v>66.3</v>
      </c>
      <c r="D46" s="8">
        <f t="shared" si="0"/>
        <v>2.278063585666517</v>
      </c>
      <c r="E46" s="1"/>
      <c r="F46" s="8">
        <v>0.9</v>
      </c>
      <c r="G46" s="9">
        <v>65.099999999999994</v>
      </c>
      <c r="H46" s="8">
        <f t="shared" si="1"/>
        <v>2.1543155843129504</v>
      </c>
      <c r="I46" s="1"/>
      <c r="J46" s="8">
        <v>-2.12</v>
      </c>
      <c r="K46" s="9">
        <v>-65.099999999999994</v>
      </c>
      <c r="L46" s="8">
        <f t="shared" si="2"/>
        <v>-2.1543155843129504</v>
      </c>
      <c r="M46" s="1"/>
      <c r="N46" s="8">
        <v>-0.9</v>
      </c>
      <c r="O46" s="9">
        <v>-65.099999999999994</v>
      </c>
      <c r="P46" s="8">
        <f t="shared" si="3"/>
        <v>-2.1543155843129504</v>
      </c>
      <c r="Q46" s="1"/>
      <c r="R46" s="8">
        <v>2.1</v>
      </c>
      <c r="S46" s="9">
        <v>65.099999999999994</v>
      </c>
      <c r="T46" s="8">
        <f t="shared" si="4"/>
        <v>2.1543155843129504</v>
      </c>
      <c r="U46" s="1"/>
      <c r="V46" s="1"/>
      <c r="W46" s="1"/>
      <c r="X46" s="1"/>
      <c r="Y46" s="1"/>
      <c r="Z46" s="1"/>
      <c r="AA46" s="1"/>
      <c r="AB46" s="1"/>
    </row>
    <row r="47" spans="1:28">
      <c r="A47" s="1"/>
      <c r="B47" s="8">
        <v>2.15</v>
      </c>
      <c r="C47" s="9">
        <v>66.400000000000006</v>
      </c>
      <c r="D47" s="8">
        <f t="shared" si="0"/>
        <v>2.2889095640115285</v>
      </c>
      <c r="E47" s="1"/>
      <c r="F47" s="8">
        <v>0.85</v>
      </c>
      <c r="G47" s="9">
        <v>65</v>
      </c>
      <c r="H47" s="8">
        <f t="shared" si="1"/>
        <v>2.1445069205095586</v>
      </c>
      <c r="I47" s="1"/>
      <c r="J47" s="8">
        <v>-2.15</v>
      </c>
      <c r="K47" s="9">
        <v>-65.3</v>
      </c>
      <c r="L47" s="8">
        <f t="shared" si="2"/>
        <v>-2.1741559325614914</v>
      </c>
      <c r="M47" s="1"/>
      <c r="N47" s="8">
        <v>-0.85</v>
      </c>
      <c r="O47" s="9">
        <v>-65</v>
      </c>
      <c r="P47" s="8">
        <f t="shared" si="3"/>
        <v>-2.1445069205095586</v>
      </c>
      <c r="Q47" s="1"/>
      <c r="R47" s="8">
        <v>2.15</v>
      </c>
      <c r="S47" s="9">
        <v>65.3</v>
      </c>
      <c r="T47" s="8">
        <f t="shared" si="4"/>
        <v>2.1741559325614914</v>
      </c>
      <c r="U47" s="1"/>
      <c r="V47" s="1"/>
      <c r="W47" s="1"/>
      <c r="X47" s="1"/>
      <c r="Y47" s="1"/>
      <c r="Z47" s="1"/>
      <c r="AA47" s="1"/>
      <c r="AB47" s="1"/>
    </row>
    <row r="48" spans="1:28">
      <c r="A48" s="1"/>
      <c r="B48" s="8">
        <v>2.2000000000000002</v>
      </c>
      <c r="C48" s="9">
        <v>66.599999999999994</v>
      </c>
      <c r="D48" s="8">
        <f t="shared" si="0"/>
        <v>2.3108636538824094</v>
      </c>
      <c r="E48" s="1"/>
      <c r="F48" s="8">
        <v>0.8</v>
      </c>
      <c r="G48" s="9">
        <v>64.900000000000006</v>
      </c>
      <c r="H48" s="8">
        <f t="shared" si="1"/>
        <v>2.1347714081041396</v>
      </c>
      <c r="I48" s="1"/>
      <c r="J48" s="8">
        <v>-2.2000000000000002</v>
      </c>
      <c r="K48" s="9">
        <v>-65.599999999999994</v>
      </c>
      <c r="L48" s="8">
        <f t="shared" si="2"/>
        <v>-2.2044877640091447</v>
      </c>
      <c r="M48" s="1"/>
      <c r="N48" s="8">
        <v>-0.8</v>
      </c>
      <c r="O48" s="9">
        <v>-64.900000000000006</v>
      </c>
      <c r="P48" s="8">
        <f t="shared" si="3"/>
        <v>-2.1347714081041396</v>
      </c>
      <c r="Q48" s="1"/>
      <c r="R48" s="8">
        <v>2.2000000000000002</v>
      </c>
      <c r="S48" s="9">
        <v>65.599999999999994</v>
      </c>
      <c r="T48" s="8">
        <f t="shared" si="4"/>
        <v>2.2044877640091447</v>
      </c>
      <c r="U48" s="1"/>
      <c r="V48" s="1"/>
      <c r="W48" s="1"/>
      <c r="X48" s="1"/>
      <c r="Y48" s="1"/>
      <c r="Z48" s="1"/>
      <c r="AA48" s="1"/>
      <c r="AB48" s="1"/>
    </row>
    <row r="49" spans="1:28">
      <c r="A49" s="1"/>
      <c r="B49" s="8">
        <v>2.25</v>
      </c>
      <c r="C49" s="9">
        <v>66.7</v>
      </c>
      <c r="D49" s="8">
        <f t="shared" si="0"/>
        <v>2.321974021678793</v>
      </c>
      <c r="E49" s="1"/>
      <c r="F49" s="8">
        <v>0.75</v>
      </c>
      <c r="G49" s="9">
        <v>64.7</v>
      </c>
      <c r="H49" s="8">
        <f t="shared" si="1"/>
        <v>2.1155163555319136</v>
      </c>
      <c r="I49" s="1"/>
      <c r="J49" s="8">
        <v>-2.25</v>
      </c>
      <c r="K49" s="9">
        <v>-65.8</v>
      </c>
      <c r="L49" s="8">
        <f t="shared" si="2"/>
        <v>-2.2251009113208058</v>
      </c>
      <c r="M49" s="1"/>
      <c r="N49" s="8">
        <v>-0.75</v>
      </c>
      <c r="O49" s="9">
        <v>-64.7</v>
      </c>
      <c r="P49" s="8">
        <f t="shared" si="3"/>
        <v>-2.1155163555319136</v>
      </c>
      <c r="Q49" s="1"/>
      <c r="R49" s="8">
        <v>2.25</v>
      </c>
      <c r="S49" s="9">
        <v>65.8</v>
      </c>
      <c r="T49" s="8">
        <f t="shared" si="4"/>
        <v>2.2251009113208058</v>
      </c>
      <c r="U49" s="1"/>
      <c r="V49" s="1"/>
      <c r="W49" s="1"/>
      <c r="X49" s="1"/>
      <c r="Y49" s="1"/>
      <c r="Z49" s="1"/>
      <c r="AA49" s="1"/>
      <c r="AB49" s="1"/>
    </row>
    <row r="50" spans="1:28">
      <c r="A50" s="1"/>
      <c r="B50" s="8">
        <v>2.2999999999999998</v>
      </c>
      <c r="C50" s="9">
        <v>66.8</v>
      </c>
      <c r="D50" s="8">
        <f t="shared" si="0"/>
        <v>2.3331748079548493</v>
      </c>
      <c r="E50" s="1"/>
      <c r="F50" s="8">
        <v>0.7</v>
      </c>
      <c r="G50" s="9">
        <v>64.5</v>
      </c>
      <c r="H50" s="8">
        <f t="shared" si="1"/>
        <v>2.0965435990881738</v>
      </c>
      <c r="I50" s="1"/>
      <c r="J50" s="8">
        <v>-2.2999999999999998</v>
      </c>
      <c r="K50" s="9">
        <v>-66</v>
      </c>
      <c r="L50" s="8">
        <f t="shared" si="2"/>
        <v>-2.2460367739042164</v>
      </c>
      <c r="M50" s="1"/>
      <c r="N50" s="8">
        <v>-0.7</v>
      </c>
      <c r="O50" s="9">
        <v>-64.5</v>
      </c>
      <c r="P50" s="8">
        <f t="shared" si="3"/>
        <v>-2.0965435990881738</v>
      </c>
      <c r="Q50" s="1"/>
      <c r="R50" s="8">
        <v>2.2999999999999998</v>
      </c>
      <c r="S50" s="9">
        <v>66</v>
      </c>
      <c r="T50" s="8">
        <f t="shared" si="4"/>
        <v>2.2460367739042164</v>
      </c>
      <c r="U50" s="1"/>
      <c r="V50" s="1"/>
      <c r="W50" s="1"/>
      <c r="X50" s="1"/>
      <c r="Y50" s="1"/>
      <c r="Z50" s="1"/>
      <c r="AA50" s="1"/>
      <c r="AB50" s="1"/>
    </row>
    <row r="51" spans="1:28">
      <c r="A51" s="1"/>
      <c r="B51" s="8">
        <v>2.35</v>
      </c>
      <c r="C51" s="9">
        <v>66.900000000000006</v>
      </c>
      <c r="D51" s="8">
        <f t="shared" si="0"/>
        <v>2.3444671900649543</v>
      </c>
      <c r="E51" s="1"/>
      <c r="F51" s="8">
        <v>0.65</v>
      </c>
      <c r="G51" s="9">
        <v>64.3</v>
      </c>
      <c r="H51" s="8">
        <f t="shared" si="1"/>
        <v>2.0778465235638057</v>
      </c>
      <c r="I51" s="1"/>
      <c r="J51" s="8">
        <v>-2.35</v>
      </c>
      <c r="K51" s="9">
        <v>-66.2</v>
      </c>
      <c r="L51" s="8">
        <f t="shared" si="2"/>
        <v>-2.2673035124434944</v>
      </c>
      <c r="M51" s="1"/>
      <c r="N51" s="8">
        <v>-0.65</v>
      </c>
      <c r="O51" s="9">
        <v>-64.3</v>
      </c>
      <c r="P51" s="8">
        <f t="shared" si="3"/>
        <v>-2.0778465235638057</v>
      </c>
      <c r="Q51" s="1"/>
      <c r="R51" s="8">
        <v>2.35</v>
      </c>
      <c r="S51" s="9">
        <v>66.2</v>
      </c>
      <c r="T51" s="8">
        <f t="shared" si="4"/>
        <v>2.2673035124434944</v>
      </c>
      <c r="U51" s="1"/>
      <c r="V51" s="1"/>
      <c r="W51" s="1"/>
      <c r="X51" s="1"/>
      <c r="Y51" s="1"/>
      <c r="Z51" s="1"/>
      <c r="AA51" s="1"/>
      <c r="AB51" s="1"/>
    </row>
    <row r="52" spans="1:28">
      <c r="A52" s="1"/>
      <c r="B52" s="8">
        <v>2.4</v>
      </c>
      <c r="C52" s="9">
        <v>66.900000000000006</v>
      </c>
      <c r="D52" s="8">
        <f t="shared" si="0"/>
        <v>2.3444671900649543</v>
      </c>
      <c r="E52" s="1"/>
      <c r="F52" s="8">
        <v>0.6</v>
      </c>
      <c r="G52" s="9">
        <v>64.099999999999994</v>
      </c>
      <c r="H52" s="8">
        <f t="shared" si="1"/>
        <v>2.0594187178508694</v>
      </c>
      <c r="I52" s="1"/>
      <c r="J52" s="8">
        <v>-2.4</v>
      </c>
      <c r="K52" s="9">
        <v>-66.2</v>
      </c>
      <c r="L52" s="8">
        <f t="shared" si="2"/>
        <v>-2.2673035124434944</v>
      </c>
      <c r="M52" s="1"/>
      <c r="N52" s="8">
        <v>-0.6</v>
      </c>
      <c r="O52" s="9">
        <v>-64.099999999999994</v>
      </c>
      <c r="P52" s="8">
        <f t="shared" si="3"/>
        <v>-2.0594187178508694</v>
      </c>
      <c r="Q52" s="1"/>
      <c r="R52" s="8">
        <v>2.4</v>
      </c>
      <c r="S52" s="9">
        <v>66.2</v>
      </c>
      <c r="T52" s="8">
        <f t="shared" si="4"/>
        <v>2.2673035124434944</v>
      </c>
      <c r="U52" s="1"/>
      <c r="V52" s="1"/>
      <c r="W52" s="1"/>
      <c r="X52" s="1"/>
      <c r="Y52" s="1"/>
      <c r="Z52" s="1"/>
      <c r="AA52" s="1"/>
      <c r="AB52" s="1"/>
    </row>
    <row r="53" spans="1:28">
      <c r="A53" s="1"/>
      <c r="B53" s="8">
        <v>2.4500000000000002</v>
      </c>
      <c r="C53" s="9">
        <v>67</v>
      </c>
      <c r="D53" s="8">
        <f t="shared" si="0"/>
        <v>2.3558523658237531</v>
      </c>
      <c r="E53" s="1"/>
      <c r="F53" s="8">
        <v>0.55000000000000004</v>
      </c>
      <c r="G53" s="9">
        <v>63.9</v>
      </c>
      <c r="H53" s="8">
        <f t="shared" si="1"/>
        <v>2.0412539671217025</v>
      </c>
      <c r="I53" s="1"/>
      <c r="J53" s="8">
        <v>-2.4500000000000002</v>
      </c>
      <c r="K53" s="9">
        <v>-66.400000000000006</v>
      </c>
      <c r="L53" s="8">
        <f t="shared" si="2"/>
        <v>-2.2889095640115285</v>
      </c>
      <c r="M53" s="1"/>
      <c r="N53" s="8">
        <v>-0.55000000000000004</v>
      </c>
      <c r="O53" s="9">
        <v>-64</v>
      </c>
      <c r="P53" s="8">
        <f t="shared" si="3"/>
        <v>-2.050303841579296</v>
      </c>
      <c r="Q53" s="1"/>
      <c r="R53" s="8">
        <v>2.4500000000000002</v>
      </c>
      <c r="S53" s="9">
        <v>66.400000000000006</v>
      </c>
      <c r="T53" s="8">
        <f t="shared" si="4"/>
        <v>2.2889095640115285</v>
      </c>
      <c r="U53" s="1"/>
      <c r="V53" s="1"/>
      <c r="W53" s="1"/>
      <c r="X53" s="1"/>
      <c r="Y53" s="1"/>
      <c r="Z53" s="1"/>
      <c r="AA53" s="1"/>
      <c r="AB53" s="1"/>
    </row>
    <row r="54" spans="1:28">
      <c r="A54" s="1"/>
      <c r="B54" s="8">
        <v>2.5</v>
      </c>
      <c r="C54" s="9">
        <v>67.099999999999994</v>
      </c>
      <c r="D54" s="8">
        <f t="shared" si="0"/>
        <v>2.3673315539529405</v>
      </c>
      <c r="E54" s="1"/>
      <c r="F54" s="8">
        <v>0.5</v>
      </c>
      <c r="G54" s="9">
        <v>63.5</v>
      </c>
      <c r="H54" s="8">
        <f t="shared" si="1"/>
        <v>2.0056897082590202</v>
      </c>
      <c r="I54" s="1"/>
      <c r="J54" s="8">
        <v>-2.5</v>
      </c>
      <c r="K54" s="9">
        <v>-66.599999999999994</v>
      </c>
      <c r="L54" s="8">
        <f t="shared" si="2"/>
        <v>-2.3108636538824094</v>
      </c>
      <c r="M54" s="1"/>
      <c r="N54" s="8">
        <v>-0.5</v>
      </c>
      <c r="O54" s="9">
        <v>-63.8</v>
      </c>
      <c r="P54" s="8">
        <f t="shared" si="3"/>
        <v>-2.0322683470689076</v>
      </c>
      <c r="Q54" s="1"/>
      <c r="R54" s="8">
        <v>2.5</v>
      </c>
      <c r="S54" s="9">
        <v>66.599999999999994</v>
      </c>
      <c r="T54" s="8">
        <f t="shared" si="4"/>
        <v>2.3108636538824094</v>
      </c>
      <c r="U54" s="1"/>
      <c r="V54" s="1"/>
      <c r="W54" s="1"/>
      <c r="X54" s="1"/>
      <c r="Y54" s="1"/>
      <c r="Z54" s="1"/>
      <c r="AA54" s="1"/>
      <c r="AB54" s="1"/>
    </row>
    <row r="55" spans="1:28">
      <c r="A55" s="1"/>
      <c r="B55" s="8">
        <v>2.5499999999999998</v>
      </c>
      <c r="C55" s="9">
        <v>67.099999999999994</v>
      </c>
      <c r="D55" s="8">
        <f t="shared" si="0"/>
        <v>2.3673315539529405</v>
      </c>
      <c r="E55" s="1"/>
      <c r="F55" s="8">
        <v>0.45</v>
      </c>
      <c r="G55" s="9">
        <v>63.2</v>
      </c>
      <c r="H55" s="8">
        <f t="shared" si="1"/>
        <v>1.9796635181412774</v>
      </c>
      <c r="I55" s="1"/>
      <c r="J55" s="8">
        <v>-2.5499999999999998</v>
      </c>
      <c r="K55" s="9">
        <v>-66.599999999999994</v>
      </c>
      <c r="L55" s="8">
        <f t="shared" si="2"/>
        <v>-2.3108636538824094</v>
      </c>
      <c r="M55" s="1"/>
      <c r="N55" s="8">
        <v>-0.45</v>
      </c>
      <c r="O55" s="9">
        <v>-63.5</v>
      </c>
      <c r="P55" s="8">
        <f t="shared" si="3"/>
        <v>-2.0056897082590202</v>
      </c>
      <c r="Q55" s="1"/>
      <c r="R55" s="8">
        <v>2.5499999999999998</v>
      </c>
      <c r="S55" s="9">
        <v>66.599999999999994</v>
      </c>
      <c r="T55" s="8">
        <f t="shared" si="4"/>
        <v>2.3108636538824094</v>
      </c>
      <c r="U55" s="1"/>
      <c r="V55" s="1"/>
      <c r="W55" s="1"/>
      <c r="X55" s="1"/>
      <c r="Y55" s="1"/>
      <c r="Z55" s="1"/>
      <c r="AA55" s="1"/>
      <c r="AB55" s="1"/>
    </row>
    <row r="56" spans="1:28">
      <c r="A56" s="1"/>
      <c r="B56" s="8">
        <v>2.6</v>
      </c>
      <c r="C56" s="9">
        <v>67.099999999999994</v>
      </c>
      <c r="D56" s="8">
        <f t="shared" si="0"/>
        <v>2.3673315539529405</v>
      </c>
      <c r="E56" s="1"/>
      <c r="F56" s="8">
        <v>0.4</v>
      </c>
      <c r="G56" s="9">
        <v>63</v>
      </c>
      <c r="H56" s="8">
        <f t="shared" si="1"/>
        <v>1.9626105055051504</v>
      </c>
      <c r="I56" s="1"/>
      <c r="J56" s="8">
        <v>-2.6</v>
      </c>
      <c r="K56" s="9">
        <v>-66.599999999999994</v>
      </c>
      <c r="L56" s="8">
        <f t="shared" si="2"/>
        <v>-2.3108636538824094</v>
      </c>
      <c r="M56" s="1"/>
      <c r="N56" s="8">
        <v>-0.4</v>
      </c>
      <c r="O56" s="9">
        <v>-63.2</v>
      </c>
      <c r="P56" s="8">
        <f t="shared" si="3"/>
        <v>-1.9796635181412774</v>
      </c>
      <c r="Q56" s="1"/>
      <c r="R56" s="8">
        <v>2.6</v>
      </c>
      <c r="S56" s="9">
        <v>66.599999999999994</v>
      </c>
      <c r="T56" s="8">
        <f t="shared" si="4"/>
        <v>2.3108636538824094</v>
      </c>
      <c r="U56" s="1"/>
      <c r="V56" s="1"/>
      <c r="W56" s="1"/>
      <c r="X56" s="1"/>
      <c r="Y56" s="1"/>
      <c r="Z56" s="1"/>
      <c r="AA56" s="1"/>
      <c r="AB56" s="1"/>
    </row>
    <row r="57" spans="1:28">
      <c r="A57" s="1"/>
      <c r="B57" s="8">
        <v>2.65</v>
      </c>
      <c r="C57" s="9">
        <v>67.2</v>
      </c>
      <c r="D57" s="8">
        <f t="shared" si="0"/>
        <v>2.3789059945397661</v>
      </c>
      <c r="E57" s="1"/>
      <c r="F57" s="8">
        <v>0.33</v>
      </c>
      <c r="G57" s="9">
        <v>62.7</v>
      </c>
      <c r="H57" s="8">
        <f t="shared" si="1"/>
        <v>1.9374645063245954</v>
      </c>
      <c r="I57" s="1"/>
      <c r="J57" s="8">
        <v>-2.65</v>
      </c>
      <c r="K57" s="9">
        <v>-66.8</v>
      </c>
      <c r="L57" s="8">
        <f t="shared" si="2"/>
        <v>-2.3331748079548493</v>
      </c>
      <c r="M57" s="1"/>
      <c r="N57" s="8">
        <v>-0.35</v>
      </c>
      <c r="O57" s="9">
        <v>-62.9</v>
      </c>
      <c r="P57" s="8">
        <f t="shared" si="3"/>
        <v>-1.9541713461737753</v>
      </c>
      <c r="Q57" s="1"/>
      <c r="R57" s="8">
        <v>2.65</v>
      </c>
      <c r="S57" s="9">
        <v>66.8</v>
      </c>
      <c r="T57" s="8">
        <f t="shared" si="4"/>
        <v>2.3331748079548493</v>
      </c>
      <c r="U57" s="1"/>
      <c r="V57" s="1"/>
      <c r="W57" s="1"/>
      <c r="X57" s="1"/>
      <c r="Y57" s="1"/>
      <c r="Z57" s="1"/>
      <c r="AA57" s="1"/>
      <c r="AB57" s="1"/>
    </row>
    <row r="58" spans="1:28">
      <c r="A58" s="1"/>
      <c r="B58" s="8">
        <v>2.7</v>
      </c>
      <c r="C58" s="9">
        <v>67.3</v>
      </c>
      <c r="D58" s="8">
        <f t="shared" si="0"/>
        <v>2.390576949507667</v>
      </c>
      <c r="E58" s="1"/>
      <c r="F58" s="8">
        <v>0.3</v>
      </c>
      <c r="G58" s="9">
        <v>62.4</v>
      </c>
      <c r="H58" s="8">
        <f t="shared" si="1"/>
        <v>1.9128235772661863</v>
      </c>
      <c r="I58" s="1"/>
      <c r="J58" s="8">
        <v>-2.7</v>
      </c>
      <c r="K58" s="9">
        <v>-67</v>
      </c>
      <c r="L58" s="8">
        <f t="shared" si="2"/>
        <v>-2.3558523658237531</v>
      </c>
      <c r="M58" s="1"/>
      <c r="N58" s="8">
        <v>-0.3</v>
      </c>
      <c r="O58" s="9">
        <v>-62.5</v>
      </c>
      <c r="P58" s="8">
        <f t="shared" si="3"/>
        <v>-1.9209821269711662</v>
      </c>
      <c r="Q58" s="1"/>
      <c r="R58" s="8">
        <v>2.7</v>
      </c>
      <c r="S58" s="9">
        <v>67</v>
      </c>
      <c r="T58" s="8">
        <f t="shared" si="4"/>
        <v>2.3558523658237531</v>
      </c>
      <c r="U58" s="1"/>
      <c r="V58" s="1"/>
      <c r="W58" s="1"/>
      <c r="X58" s="1"/>
      <c r="Y58" s="1"/>
      <c r="Z58" s="1"/>
      <c r="AA58" s="1"/>
      <c r="AB58" s="1"/>
    </row>
    <row r="59" spans="1:28">
      <c r="A59" s="1"/>
      <c r="B59" s="8">
        <v>2.75</v>
      </c>
      <c r="C59" s="9">
        <v>67.3</v>
      </c>
      <c r="D59" s="8">
        <f t="shared" si="0"/>
        <v>2.390576949507667</v>
      </c>
      <c r="E59" s="1"/>
      <c r="F59" s="8">
        <v>0.25</v>
      </c>
      <c r="G59" s="9">
        <v>62.1</v>
      </c>
      <c r="H59" s="8">
        <f t="shared" si="1"/>
        <v>1.8886713416310679</v>
      </c>
      <c r="I59" s="1"/>
      <c r="J59" s="8">
        <v>-2.75</v>
      </c>
      <c r="K59" s="9">
        <v>-67</v>
      </c>
      <c r="L59" s="8">
        <f t="shared" si="2"/>
        <v>-2.3558523658237531</v>
      </c>
      <c r="M59" s="1"/>
      <c r="N59" s="8">
        <v>-0.25</v>
      </c>
      <c r="O59" s="9">
        <v>-62.2</v>
      </c>
      <c r="P59" s="8">
        <f t="shared" si="3"/>
        <v>-1.8966687694364976</v>
      </c>
      <c r="Q59" s="1"/>
      <c r="R59" s="8">
        <v>2.75</v>
      </c>
      <c r="S59" s="9">
        <v>67</v>
      </c>
      <c r="T59" s="8">
        <f t="shared" si="4"/>
        <v>2.3558523658237531</v>
      </c>
      <c r="U59" s="1"/>
      <c r="V59" s="1"/>
      <c r="W59" s="1"/>
      <c r="X59" s="1"/>
      <c r="Y59" s="1"/>
      <c r="Z59" s="1"/>
      <c r="AA59" s="1"/>
      <c r="AB59" s="1"/>
    </row>
    <row r="60" spans="1:28">
      <c r="A60" s="1"/>
      <c r="B60" s="8">
        <v>2.8</v>
      </c>
      <c r="C60" s="9">
        <v>67.400000000000006</v>
      </c>
      <c r="D60" s="8">
        <f t="shared" si="0"/>
        <v>2.4023457030994106</v>
      </c>
      <c r="E60" s="1"/>
      <c r="F60" s="8">
        <v>0.2</v>
      </c>
      <c r="G60" s="9">
        <v>61.7</v>
      </c>
      <c r="H60" s="8">
        <f t="shared" si="1"/>
        <v>1.8572015433137625</v>
      </c>
      <c r="I60" s="1"/>
      <c r="J60" s="8">
        <v>-2.8</v>
      </c>
      <c r="K60" s="9">
        <v>-67.099999999999994</v>
      </c>
      <c r="L60" s="8">
        <f t="shared" si="2"/>
        <v>-2.3673315539529405</v>
      </c>
      <c r="M60" s="1"/>
      <c r="N60" s="8">
        <v>-0.2</v>
      </c>
      <c r="O60" s="9">
        <v>-61.6</v>
      </c>
      <c r="P60" s="8">
        <f t="shared" si="3"/>
        <v>-1.8494613101929911</v>
      </c>
      <c r="Q60" s="1"/>
      <c r="R60" s="8">
        <v>2.8</v>
      </c>
      <c r="S60" s="9">
        <v>67.099999999999994</v>
      </c>
      <c r="T60" s="8">
        <f t="shared" si="4"/>
        <v>2.3673315539529405</v>
      </c>
      <c r="U60" s="1"/>
      <c r="V60" s="1"/>
      <c r="W60" s="1"/>
      <c r="X60" s="1"/>
      <c r="Y60" s="1"/>
      <c r="Z60" s="1"/>
      <c r="AA60" s="1"/>
      <c r="AB60" s="1"/>
    </row>
    <row r="61" spans="1:28">
      <c r="A61" s="1"/>
      <c r="B61" s="8">
        <v>2.85</v>
      </c>
      <c r="C61" s="9">
        <v>67.5</v>
      </c>
      <c r="D61" s="8">
        <f t="shared" si="0"/>
        <v>2.4142135623730949</v>
      </c>
      <c r="E61" s="1"/>
      <c r="F61" s="8">
        <v>0.15</v>
      </c>
      <c r="G61" s="9">
        <v>61.1</v>
      </c>
      <c r="H61" s="8">
        <f t="shared" si="1"/>
        <v>1.8114968749814369</v>
      </c>
      <c r="I61" s="1"/>
      <c r="J61" s="8">
        <v>-2.85</v>
      </c>
      <c r="K61" s="9">
        <v>-67.3</v>
      </c>
      <c r="L61" s="8">
        <f t="shared" si="2"/>
        <v>-2.390576949507667</v>
      </c>
      <c r="M61" s="1"/>
      <c r="N61" s="8">
        <v>-0.15</v>
      </c>
      <c r="O61" s="9">
        <v>-61.1</v>
      </c>
      <c r="P61" s="8">
        <f t="shared" si="3"/>
        <v>-1.8114968749814369</v>
      </c>
      <c r="Q61" s="1"/>
      <c r="R61" s="8">
        <v>2.85</v>
      </c>
      <c r="S61" s="9">
        <v>67.3</v>
      </c>
      <c r="T61" s="8">
        <f t="shared" si="4"/>
        <v>2.390576949507667</v>
      </c>
      <c r="U61" s="1"/>
      <c r="V61" s="1"/>
      <c r="W61" s="1"/>
      <c r="X61" s="1"/>
      <c r="Y61" s="1"/>
      <c r="Z61" s="1"/>
      <c r="AA61" s="1"/>
      <c r="AB61" s="1"/>
    </row>
    <row r="62" spans="1:28">
      <c r="A62" s="1"/>
      <c r="B62" s="8">
        <v>2.9</v>
      </c>
      <c r="C62" s="9">
        <v>67.599999999999994</v>
      </c>
      <c r="D62" s="8">
        <f t="shared" si="0"/>
        <v>2.4261818577114589</v>
      </c>
      <c r="E62" s="1"/>
      <c r="F62" s="8">
        <v>0.6</v>
      </c>
      <c r="G62" s="9">
        <v>60.1</v>
      </c>
      <c r="H62" s="8">
        <f t="shared" si="1"/>
        <v>1.7390533002149762</v>
      </c>
      <c r="I62" s="1"/>
      <c r="J62" s="8">
        <v>-2.9</v>
      </c>
      <c r="K62" s="9">
        <v>-67.5</v>
      </c>
      <c r="L62" s="8">
        <f t="shared" si="2"/>
        <v>-2.4142135623730949</v>
      </c>
      <c r="M62" s="1"/>
      <c r="N62" s="8">
        <v>-0.1</v>
      </c>
      <c r="O62" s="9">
        <v>-60.4</v>
      </c>
      <c r="P62" s="8">
        <f t="shared" si="3"/>
        <v>-1.7603183457965603</v>
      </c>
      <c r="Q62" s="1"/>
      <c r="R62" s="8">
        <v>2.9</v>
      </c>
      <c r="S62" s="9">
        <v>67.5</v>
      </c>
      <c r="T62" s="8">
        <f t="shared" si="4"/>
        <v>2.4142135623730949</v>
      </c>
      <c r="U62" s="1"/>
      <c r="V62" s="1"/>
      <c r="W62" s="1"/>
      <c r="X62" s="1"/>
      <c r="Y62" s="1"/>
      <c r="Z62" s="1"/>
      <c r="AA62" s="1"/>
      <c r="AB62" s="1"/>
    </row>
    <row r="63" spans="1:28">
      <c r="A63" s="1"/>
      <c r="B63" s="8">
        <v>2.95</v>
      </c>
      <c r="C63" s="9">
        <v>67.599999999999994</v>
      </c>
      <c r="D63" s="8">
        <f t="shared" si="0"/>
        <v>2.4261818577114589</v>
      </c>
      <c r="E63" s="1"/>
      <c r="F63" s="8">
        <v>0.05</v>
      </c>
      <c r="G63" s="9">
        <v>59.9</v>
      </c>
      <c r="H63" s="8">
        <f t="shared" si="1"/>
        <v>1.7250905244220645</v>
      </c>
      <c r="I63" s="1"/>
      <c r="J63" s="8">
        <v>-2.95</v>
      </c>
      <c r="K63" s="9">
        <v>-67.5</v>
      </c>
      <c r="L63" s="8">
        <f t="shared" si="2"/>
        <v>-2.4142135623730949</v>
      </c>
      <c r="M63" s="1"/>
      <c r="N63" s="8">
        <v>-0.05</v>
      </c>
      <c r="O63" s="9">
        <v>-59.9</v>
      </c>
      <c r="P63" s="8">
        <f t="shared" si="3"/>
        <v>-1.7250905244220645</v>
      </c>
      <c r="Q63" s="1"/>
      <c r="R63" s="8">
        <v>2.95</v>
      </c>
      <c r="S63" s="9">
        <v>67.5</v>
      </c>
      <c r="T63" s="8">
        <f t="shared" si="4"/>
        <v>2.4142135623730949</v>
      </c>
      <c r="U63" s="1"/>
      <c r="V63" s="1"/>
      <c r="W63" s="1"/>
      <c r="X63" s="1"/>
      <c r="Y63" s="1"/>
      <c r="Z63" s="1"/>
      <c r="AA63" s="1"/>
      <c r="AB63" s="1"/>
    </row>
    <row r="64" spans="1:28">
      <c r="A64" s="1"/>
      <c r="B64" s="8">
        <v>3</v>
      </c>
      <c r="C64" s="9">
        <v>67.7</v>
      </c>
      <c r="D64" s="8">
        <f t="shared" si="0"/>
        <v>2.4382519433448815</v>
      </c>
      <c r="E64" s="1"/>
      <c r="F64" s="8">
        <v>0</v>
      </c>
      <c r="G64" s="9">
        <v>59.1</v>
      </c>
      <c r="H64" s="8">
        <f t="shared" si="1"/>
        <v>1.6708782445123791</v>
      </c>
      <c r="I64" s="1"/>
      <c r="J64" s="8">
        <v>-3</v>
      </c>
      <c r="K64" s="9">
        <v>-67.7</v>
      </c>
      <c r="L64" s="8">
        <f t="shared" si="2"/>
        <v>-2.4382519433448815</v>
      </c>
      <c r="M64" s="1"/>
      <c r="N64" s="8">
        <v>0</v>
      </c>
      <c r="O64" s="9">
        <v>-59.1</v>
      </c>
      <c r="P64" s="8">
        <f t="shared" si="3"/>
        <v>-1.6708782445123791</v>
      </c>
      <c r="Q64" s="1"/>
      <c r="R64" s="8">
        <v>3</v>
      </c>
      <c r="S64" s="9">
        <v>67.7</v>
      </c>
      <c r="T64" s="8">
        <f t="shared" si="4"/>
        <v>2.4382519433448815</v>
      </c>
      <c r="U64" s="1"/>
      <c r="V64" s="1"/>
      <c r="W64" s="1"/>
      <c r="X64" s="1"/>
      <c r="Y64" s="1"/>
      <c r="Z64" s="1"/>
      <c r="AA64" s="1"/>
      <c r="AB64" s="1"/>
    </row>
    <row r="65" spans="1:28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asa_wang</dc:creator>
  <cp:lastModifiedBy>asa_wang</cp:lastModifiedBy>
  <dcterms:created xsi:type="dcterms:W3CDTF">2025-11-30T18:00:22Z</dcterms:created>
  <dcterms:modified xsi:type="dcterms:W3CDTF">2026-04-19T23:06:00Z</dcterms:modified>
</cp:coreProperties>
</file>