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4"/>
  </sheets>
  <externalReferences>
    <externalReference r:id="rId5"/>
  </externalReferences>
  <definedNames/>
  <calcPr/>
  <extLst>
    <ext uri="GoogleSheetsCustomDataVersion2">
      <go:sheetsCustomData xmlns:go="http://customooxmlschemas.google.com/" r:id="rId6" roundtripDataChecksum="ZcQTRRckLt5QySOlyqzCIFB6ndIJ08qhIfb1CTpMkoE="/>
    </ext>
  </extLst>
</workbook>
</file>

<file path=xl/sharedStrings.xml><?xml version="1.0" encoding="utf-8"?>
<sst xmlns="http://schemas.openxmlformats.org/spreadsheetml/2006/main" count="44" uniqueCount="26">
  <si>
    <t>A：用雷射光校正測微器的讀數</t>
  </si>
  <si>
    <t>ΔN</t>
  </si>
  <si>
    <t>測微器
的讀數
(mm)</t>
  </si>
  <si>
    <t>第一次</t>
  </si>
  <si>
    <t>向外</t>
  </si>
  <si>
    <t>向內</t>
  </si>
  <si>
    <t>第二次</t>
  </si>
  <si>
    <t>第三次</t>
  </si>
  <si>
    <t>第四次</t>
  </si>
  <si>
    <t>第五次</t>
  </si>
  <si>
    <t>測微器平均讀數 (mm)</t>
  </si>
  <si>
    <r>
      <rPr>
        <rFont val="DFKai-SB"/>
        <color theme="1"/>
        <sz val="12.0"/>
      </rPr>
      <t xml:space="preserve">測微器讀數的平均變化 </t>
    </r>
    <r>
      <rPr>
        <rFont val="Calibri"/>
        <color theme="1"/>
        <sz val="12.0"/>
      </rPr>
      <t>Δ</t>
    </r>
    <r>
      <rPr>
        <rFont val="Arial"/>
        <color theme="1"/>
        <sz val="12.0"/>
      </rPr>
      <t>x (mm)</t>
    </r>
  </si>
  <si>
    <t>反射鏡移動距離 Δd (mm)</t>
  </si>
  <si>
    <t>測微器每移動0.01mm反射鏡移動距離 (mm)</t>
  </si>
  <si>
    <t>B：測量玻璃（BK7）的折射率</t>
  </si>
  <si>
    <t>角度</t>
  </si>
  <si>
    <t xml:space="preserve">0° -&gt;10° </t>
  </si>
  <si>
    <t xml:space="preserve">10° -&gt;0° </t>
  </si>
  <si>
    <t>干涉圈
移動圈數(N)</t>
  </si>
  <si>
    <t>平均圈數 N</t>
  </si>
  <si>
    <t>平均折射率 n</t>
  </si>
  <si>
    <t>C：氣室的折射率</t>
  </si>
  <si>
    <t>N</t>
  </si>
  <si>
    <t>ΔP
(kPa)</t>
  </si>
  <si>
    <t>平均值</t>
  </si>
  <si>
    <r>
      <rPr>
        <rFont val="DFKai-SB"/>
        <color theme="1"/>
        <sz val="12.0"/>
      </rPr>
      <t>Δn (10</t>
    </r>
    <r>
      <rPr>
        <rFont val="Arial"/>
        <color theme="1"/>
        <sz val="12.0"/>
      </rPr>
      <t>-5)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</si>
</sst>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00"/>
    <numFmt numFmtId="165" formatCode="0.000_ "/>
    <numFmt numFmtId="166" formatCode="0.00000_ "/>
    <numFmt numFmtId="167" formatCode="0.000000"/>
    <numFmt numFmtId="168" formatCode="0.0"/>
  </numFmts>
  <fonts count="4">
    <font>
      <sz val="12.0"/>
      <color theme="1"/>
      <name val="Aptos Narrow"/>
      <scheme val="minor"/>
    </font>
    <font>
      <sz val="12.0"/>
      <color theme="1"/>
      <name val="DFKai-SB"/>
    </font>
    <font>
      <b/>
      <sz val="12.0"/>
      <color theme="1"/>
      <name val="DFKai-SB"/>
    </font>
    <font/>
  </fonts>
  <fills count="3">
    <fill>
      <patternFill patternType="none"/>
    </fill>
    <fill>
      <patternFill patternType="lightGray"/>
    </fill>
    <fill>
      <patternFill patternType="solid">
        <fgColor rgb="FFD9F2D0"/>
        <bgColor rgb="FFD9F2D0"/>
      </patternFill>
    </fill>
  </fills>
  <borders count="25">
    <border/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vertical="center"/>
    </xf>
    <xf borderId="1" fillId="0" fontId="1" numFmtId="0" xfId="0" applyAlignment="1" applyBorder="1" applyFont="1">
      <alignment horizontal="center" vertical="center"/>
    </xf>
    <xf borderId="2" fillId="0" fontId="3" numFmtId="0" xfId="0" applyAlignment="1" applyBorder="1" applyFont="1">
      <alignment vertical="center"/>
    </xf>
    <xf borderId="3" fillId="0" fontId="3" numFmtId="0" xfId="0" applyAlignment="1" applyBorder="1" applyFont="1">
      <alignment vertical="center"/>
    </xf>
    <xf borderId="4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8" fillId="0" fontId="1" numFmtId="164" xfId="0" applyAlignment="1" applyBorder="1" applyFont="1" applyNumberFormat="1">
      <alignment horizontal="center" vertical="center"/>
    </xf>
    <xf borderId="8" fillId="2" fontId="1" numFmtId="164" xfId="0" applyAlignment="1" applyBorder="1" applyFill="1" applyFont="1" applyNumberFormat="1">
      <alignment horizontal="center" readingOrder="0" vertical="center"/>
    </xf>
    <xf borderId="8" fillId="2" fontId="1" numFmtId="164" xfId="0" applyAlignment="1" applyBorder="1" applyFont="1" applyNumberFormat="1">
      <alignment horizontal="center" vertical="center"/>
    </xf>
    <xf borderId="9" fillId="2" fontId="1" numFmtId="164" xfId="0" applyAlignment="1" applyBorder="1" applyFont="1" applyNumberFormat="1">
      <alignment horizontal="center" vertical="center"/>
    </xf>
    <xf borderId="10" fillId="0" fontId="3" numFmtId="0" xfId="0" applyAlignment="1" applyBorder="1" applyFont="1">
      <alignment vertical="center"/>
    </xf>
    <xf borderId="11" fillId="0" fontId="3" numFmtId="0" xfId="0" applyAlignment="1" applyBorder="1" applyFont="1">
      <alignment vertical="center"/>
    </xf>
    <xf borderId="9" fillId="0" fontId="1" numFmtId="164" xfId="0" applyAlignment="1" applyBorder="1" applyFont="1" applyNumberFormat="1">
      <alignment horizontal="center" vertical="center"/>
    </xf>
    <xf borderId="12" fillId="0" fontId="3" numFmtId="0" xfId="0" applyAlignment="1" applyBorder="1" applyFont="1">
      <alignment vertical="center"/>
    </xf>
    <xf borderId="13" fillId="2" fontId="1" numFmtId="164" xfId="0" applyAlignment="1" applyBorder="1" applyFont="1" applyNumberFormat="1">
      <alignment horizontal="center" vertical="center"/>
    </xf>
    <xf borderId="14" fillId="0" fontId="1" numFmtId="164" xfId="0" applyAlignment="1" applyBorder="1" applyFont="1" applyNumberForma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5" fillId="0" fontId="1" numFmtId="164" xfId="0" applyAlignment="1" applyBorder="1" applyFont="1" applyNumberFormat="1">
      <alignment horizontal="center" vertical="center"/>
    </xf>
    <xf borderId="15" fillId="0" fontId="1" numFmtId="0" xfId="0" applyAlignment="1" applyBorder="1" applyFont="1">
      <alignment horizontal="center" readingOrder="0" vertical="center"/>
    </xf>
    <xf borderId="16" fillId="0" fontId="3" numFmtId="0" xfId="0" applyAlignment="1" applyBorder="1" applyFont="1">
      <alignment vertical="center"/>
    </xf>
    <xf borderId="17" fillId="0" fontId="3" numFmtId="0" xfId="0" applyAlignment="1" applyBorder="1" applyFont="1">
      <alignment vertical="center"/>
    </xf>
    <xf borderId="8" fillId="0" fontId="1" numFmtId="165" xfId="0" applyAlignment="1" applyBorder="1" applyFont="1" applyNumberFormat="1">
      <alignment horizontal="center" vertical="center"/>
    </xf>
    <xf borderId="9" fillId="0" fontId="1" numFmtId="165" xfId="0" applyAlignment="1" applyBorder="1" applyFont="1" applyNumberFormat="1">
      <alignment horizontal="center" vertical="center"/>
    </xf>
    <xf borderId="15" fillId="0" fontId="1" numFmtId="0" xfId="0" applyAlignment="1" applyBorder="1" applyFont="1">
      <alignment horizontal="center" vertical="center"/>
    </xf>
    <xf borderId="8" fillId="0" fontId="1" numFmtId="166" xfId="0" applyAlignment="1" applyBorder="1" applyFont="1" applyNumberFormat="1">
      <alignment horizontal="center" vertical="center"/>
    </xf>
    <xf borderId="9" fillId="0" fontId="1" numFmtId="166" xfId="0" applyAlignment="1" applyBorder="1" applyFont="1" applyNumberFormat="1">
      <alignment horizontal="center" vertical="center"/>
    </xf>
    <xf borderId="18" fillId="0" fontId="1" numFmtId="0" xfId="0" applyAlignment="1" applyBorder="1" applyFont="1">
      <alignment horizontal="center" vertical="center"/>
    </xf>
    <xf borderId="19" fillId="0" fontId="3" numFmtId="0" xfId="0" applyAlignment="1" applyBorder="1" applyFont="1">
      <alignment vertical="center"/>
    </xf>
    <xf borderId="20" fillId="0" fontId="3" numFmtId="0" xfId="0" applyAlignment="1" applyBorder="1" applyFont="1">
      <alignment vertical="center"/>
    </xf>
    <xf borderId="21" fillId="0" fontId="1" numFmtId="167" xfId="0" applyAlignment="1" applyBorder="1" applyFont="1" applyNumberFormat="1">
      <alignment horizontal="center" vertical="center"/>
    </xf>
    <xf borderId="22" fillId="0" fontId="3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8" fillId="2" fontId="1" numFmtId="0" xfId="0" applyAlignment="1" applyBorder="1" applyFont="1">
      <alignment horizontal="center" vertical="center"/>
    </xf>
    <xf borderId="9" fillId="2" fontId="1" numFmtId="0" xfId="0" applyAlignment="1" applyBorder="1" applyFont="1">
      <alignment horizontal="center" vertical="center"/>
    </xf>
    <xf borderId="0" fillId="0" fontId="1" numFmtId="0" xfId="0" applyAlignment="1" applyFont="1">
      <alignment shrinkToFit="0" vertical="center" wrapText="1"/>
    </xf>
    <xf borderId="0" fillId="0" fontId="1" numFmtId="2" xfId="0" applyAlignment="1" applyFont="1" applyNumberFormat="1">
      <alignment horizontal="center" vertical="center"/>
    </xf>
    <xf borderId="9" fillId="0" fontId="1" numFmtId="0" xfId="0" applyAlignment="1" applyBorder="1" applyFont="1">
      <alignment horizontal="center" vertical="center"/>
    </xf>
    <xf borderId="23" fillId="0" fontId="1" numFmtId="164" xfId="0" applyAlignment="1" applyBorder="1" applyFont="1" applyNumberFormat="1">
      <alignment horizontal="center" vertical="center"/>
    </xf>
    <xf borderId="24" fillId="0" fontId="1" numFmtId="164" xfId="0" applyAlignment="1" applyBorder="1" applyFont="1" applyNumberFormat="1">
      <alignment horizontal="center" vertical="center"/>
    </xf>
    <xf borderId="8" fillId="2" fontId="1" numFmtId="168" xfId="0" applyAlignment="1" applyBorder="1" applyFont="1" applyNumberFormat="1">
      <alignment horizontal="center" vertical="center"/>
    </xf>
    <xf borderId="9" fillId="2" fontId="1" numFmtId="168" xfId="0" applyAlignment="1" applyBorder="1" applyFont="1" applyNumberFormat="1">
      <alignment horizontal="center" vertical="center"/>
    </xf>
    <xf borderId="8" fillId="0" fontId="1" numFmtId="168" xfId="0" applyAlignment="1" applyBorder="1" applyFont="1" applyNumberFormat="1">
      <alignment horizontal="center" vertical="center"/>
    </xf>
    <xf borderId="9" fillId="0" fontId="1" numFmtId="168" xfId="0" applyAlignment="1" applyBorder="1" applyFont="1" applyNumberFormat="1">
      <alignment horizontal="center" vertical="center"/>
    </xf>
    <xf borderId="18" fillId="0" fontId="1" numFmtId="0" xfId="0" applyAlignment="1" applyBorder="1" applyFont="1">
      <alignment horizontal="center" readingOrder="0" vertical="center"/>
    </xf>
    <xf borderId="23" fillId="0" fontId="1" numFmtId="2" xfId="0" applyAlignment="1" applyBorder="1" applyFont="1" applyNumberFormat="1">
      <alignment horizontal="center" vertical="center"/>
    </xf>
    <xf borderId="24" fillId="0" fontId="1" numFmtId="2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ΔN對Δd的關係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'工作表1'!$F$16:$J$16</c:f>
            </c:numRef>
          </c:xVal>
          <c:yVal>
            <c:numRef>
              <c:f>'工作表1'!$F$3:$J$3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3317256"/>
        <c:axId val="176309947"/>
      </c:scatterChart>
      <c:valAx>
        <c:axId val="115331725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反射鏡移動距離 Δd (mm)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6309947"/>
      </c:valAx>
      <c:valAx>
        <c:axId val="1763099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ΔN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53317256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ΔN對Δx的關係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'工作表1'!$F$15:$J$15</c:f>
            </c:numRef>
          </c:xVal>
          <c:yVal>
            <c:numRef>
              <c:f>'工作表1'!$F$3:$J$3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1588081"/>
        <c:axId val="118592127"/>
      </c:scatterChart>
      <c:valAx>
        <c:axId val="189158808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測微器讀數的平均變化 Δx (mm)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8592127"/>
      </c:valAx>
      <c:valAx>
        <c:axId val="1185921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ΔN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91588081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ΔP對Δn作圖</a:t>
            </a:r>
          </a:p>
        </c:rich>
      </c:tx>
      <c:overlay val="0"/>
    </c:title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039393503"/>
        <c:axId val="66207862"/>
      </c:scatterChart>
      <c:valAx>
        <c:axId val="103939350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Δn (10-5)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66207862"/>
      </c:valAx>
      <c:valAx>
        <c:axId val="66207862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039393503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238125</xdr:colOff>
      <xdr:row>2</xdr:row>
      <xdr:rowOff>123825</xdr:rowOff>
    </xdr:from>
    <xdr:ext cx="4438650" cy="3133725"/>
    <xdr:graphicFrame>
      <xdr:nvGraphicFramePr>
        <xdr:cNvPr id="269599913" name="Chart 1" title="ΔN對Δd的關係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219075</xdr:colOff>
      <xdr:row>16</xdr:row>
      <xdr:rowOff>104775</xdr:rowOff>
    </xdr:from>
    <xdr:ext cx="4438650" cy="3133725"/>
    <xdr:graphicFrame>
      <xdr:nvGraphicFramePr>
        <xdr:cNvPr id="427419038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685800</xdr:colOff>
      <xdr:row>30</xdr:row>
      <xdr:rowOff>38100</xdr:rowOff>
    </xdr:from>
    <xdr:ext cx="4895850" cy="3076575"/>
    <xdr:graphicFrame>
      <xdr:nvGraphicFramePr>
        <xdr:cNvPr id="67651601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sam20/Documents/&#22823;&#23416;&#25991;&#20214;/&#19968;&#19979;&#26222;&#29289;&#23526;&#39511;/14_&#40613;&#20811;&#26862;&#24178;&#28041;2/&#26222;&#29289;&#23526;&#39511;%20w14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工作表1"/>
    </sheetNames>
    <sheetDataSet>
      <sheetData sheetId="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8.11"/>
  </cols>
  <sheetData>
    <row r="1" ht="18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75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75" customHeight="1">
      <c r="A3" s="1"/>
      <c r="B3" s="3" t="s">
        <v>1</v>
      </c>
      <c r="C3" s="4"/>
      <c r="D3" s="5"/>
      <c r="E3" s="6">
        <v>0.0</v>
      </c>
      <c r="F3" s="6">
        <v>10.0</v>
      </c>
      <c r="G3" s="6">
        <v>20.0</v>
      </c>
      <c r="H3" s="6">
        <v>30.0</v>
      </c>
      <c r="I3" s="6">
        <v>40.0</v>
      </c>
      <c r="J3" s="7">
        <v>50.0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8.75" customHeight="1">
      <c r="A4" s="1"/>
      <c r="B4" s="8" t="s">
        <v>2</v>
      </c>
      <c r="C4" s="9" t="s">
        <v>3</v>
      </c>
      <c r="D4" s="10" t="s">
        <v>4</v>
      </c>
      <c r="E4" s="11">
        <v>10.0</v>
      </c>
      <c r="F4" s="12"/>
      <c r="G4" s="13"/>
      <c r="H4" s="13"/>
      <c r="I4" s="13"/>
      <c r="J4" s="14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75" customHeight="1">
      <c r="A5" s="1"/>
      <c r="B5" s="15"/>
      <c r="C5" s="16"/>
      <c r="D5" s="10" t="s">
        <v>5</v>
      </c>
      <c r="E5" s="12"/>
      <c r="F5" s="13"/>
      <c r="G5" s="13"/>
      <c r="H5" s="13"/>
      <c r="I5" s="13"/>
      <c r="J5" s="17" t="str">
        <f> J4</f>
        <v/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75" customHeight="1">
      <c r="A6" s="1"/>
      <c r="B6" s="15"/>
      <c r="C6" s="9" t="s">
        <v>6</v>
      </c>
      <c r="D6" s="10" t="s">
        <v>4</v>
      </c>
      <c r="E6" s="11">
        <v>10.0</v>
      </c>
      <c r="F6" s="13"/>
      <c r="G6" s="13"/>
      <c r="H6" s="13"/>
      <c r="I6" s="13"/>
      <c r="J6" s="14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75" customHeight="1">
      <c r="A7" s="1"/>
      <c r="B7" s="15"/>
      <c r="C7" s="16"/>
      <c r="D7" s="10" t="s">
        <v>5</v>
      </c>
      <c r="E7" s="13"/>
      <c r="F7" s="13"/>
      <c r="G7" s="13"/>
      <c r="H7" s="13"/>
      <c r="I7" s="13"/>
      <c r="J7" s="17" t="str">
        <f> J6</f>
        <v/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5"/>
      <c r="C8" s="9" t="s">
        <v>7</v>
      </c>
      <c r="D8" s="10" t="s">
        <v>4</v>
      </c>
      <c r="E8" s="11">
        <v>10.0</v>
      </c>
      <c r="F8" s="13"/>
      <c r="G8" s="13"/>
      <c r="H8" s="13"/>
      <c r="I8" s="13"/>
      <c r="J8" s="14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5"/>
      <c r="C9" s="16"/>
      <c r="D9" s="10" t="s">
        <v>5</v>
      </c>
      <c r="E9" s="13"/>
      <c r="F9" s="13"/>
      <c r="G9" s="13"/>
      <c r="H9" s="13"/>
      <c r="I9" s="13"/>
      <c r="J9" s="17" t="str">
        <f> J8</f>
        <v/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5"/>
      <c r="C10" s="9" t="s">
        <v>8</v>
      </c>
      <c r="D10" s="10" t="s">
        <v>4</v>
      </c>
      <c r="E10" s="11">
        <v>10.0</v>
      </c>
      <c r="F10" s="13"/>
      <c r="G10" s="13"/>
      <c r="H10" s="13"/>
      <c r="I10" s="13"/>
      <c r="J10" s="14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5"/>
      <c r="C11" s="16"/>
      <c r="D11" s="10" t="s">
        <v>5</v>
      </c>
      <c r="E11" s="13"/>
      <c r="F11" s="13"/>
      <c r="G11" s="13"/>
      <c r="H11" s="13"/>
      <c r="I11" s="13"/>
      <c r="J11" s="17" t="str">
        <f> J10</f>
        <v/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5"/>
      <c r="C12" s="9" t="s">
        <v>9</v>
      </c>
      <c r="D12" s="10" t="s">
        <v>4</v>
      </c>
      <c r="E12" s="11">
        <v>10.0</v>
      </c>
      <c r="F12" s="13"/>
      <c r="G12" s="13"/>
      <c r="H12" s="13"/>
      <c r="I12" s="13"/>
      <c r="J12" s="14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8"/>
      <c r="C13" s="16"/>
      <c r="D13" s="9" t="s">
        <v>5</v>
      </c>
      <c r="E13" s="19"/>
      <c r="F13" s="19"/>
      <c r="G13" s="19"/>
      <c r="H13" s="19"/>
      <c r="I13" s="19"/>
      <c r="J13" s="20" t="str">
        <f> J12</f>
        <v/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3" t="s">
        <v>10</v>
      </c>
      <c r="C14" s="4"/>
      <c r="D14" s="5"/>
      <c r="E14" s="21">
        <f t="shared" ref="E14:J14" si="1"> AVERAGE(E4:E13)</f>
        <v>10</v>
      </c>
      <c r="F14" s="21" t="str">
        <f t="shared" si="1"/>
        <v>#DIV/0!</v>
      </c>
      <c r="G14" s="21" t="str">
        <f t="shared" si="1"/>
        <v>#DIV/0!</v>
      </c>
      <c r="H14" s="21" t="str">
        <f t="shared" si="1"/>
        <v>#DIV/0!</v>
      </c>
      <c r="I14" s="21" t="str">
        <f t="shared" si="1"/>
        <v>#DIV/0!</v>
      </c>
      <c r="J14" s="22" t="str">
        <f t="shared" si="1"/>
        <v>#DIV/0!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23" t="s">
        <v>11</v>
      </c>
      <c r="C15" s="24"/>
      <c r="D15" s="24"/>
      <c r="E15" s="25"/>
      <c r="F15" s="26" t="str">
        <f t="shared" ref="F15:J15" si="2"> F14 - $E14</f>
        <v>#DIV/0!</v>
      </c>
      <c r="G15" s="26" t="str">
        <f t="shared" si="2"/>
        <v>#DIV/0!</v>
      </c>
      <c r="H15" s="26" t="str">
        <f t="shared" si="2"/>
        <v>#DIV/0!</v>
      </c>
      <c r="I15" s="26" t="str">
        <f t="shared" si="2"/>
        <v>#DIV/0!</v>
      </c>
      <c r="J15" s="27" t="str">
        <f t="shared" si="2"/>
        <v>#DIV/0!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28" t="s">
        <v>12</v>
      </c>
      <c r="C16" s="24"/>
      <c r="D16" s="24"/>
      <c r="E16" s="25"/>
      <c r="F16" s="29">
        <f t="shared" ref="F16:J16" si="3"> 633 * 10^-9 * F3 / 2 *1000</f>
        <v>0.003165</v>
      </c>
      <c r="G16" s="29">
        <f t="shared" si="3"/>
        <v>0.00633</v>
      </c>
      <c r="H16" s="29">
        <f t="shared" si="3"/>
        <v>0.009495</v>
      </c>
      <c r="I16" s="29">
        <f t="shared" si="3"/>
        <v>0.01266</v>
      </c>
      <c r="J16" s="30">
        <f t="shared" si="3"/>
        <v>0.015825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31" t="s">
        <v>13</v>
      </c>
      <c r="C17" s="32"/>
      <c r="D17" s="32"/>
      <c r="E17" s="33"/>
      <c r="F17" s="34" t="str">
        <f> (F16/F15 + G16/G15 + H16/H15 + I16/I15 + J16/J15)/500</f>
        <v>#DIV/0!</v>
      </c>
      <c r="G17" s="32"/>
      <c r="H17" s="32"/>
      <c r="I17" s="32"/>
      <c r="J17" s="35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2" t="s">
        <v>14</v>
      </c>
      <c r="C20" s="1"/>
      <c r="D20" s="1"/>
      <c r="E20" s="1"/>
      <c r="F20" s="1"/>
      <c r="G20" s="2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3" t="s">
        <v>15</v>
      </c>
      <c r="C21" s="5"/>
      <c r="D21" s="6" t="s">
        <v>16</v>
      </c>
      <c r="E21" s="7" t="s">
        <v>17</v>
      </c>
      <c r="F21" s="1"/>
      <c r="G21" s="36"/>
      <c r="H21" s="36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8" t="s">
        <v>18</v>
      </c>
      <c r="C22" s="10" t="s">
        <v>3</v>
      </c>
      <c r="D22" s="37"/>
      <c r="E22" s="38"/>
      <c r="F22" s="1"/>
      <c r="G22" s="39"/>
      <c r="H22" s="1"/>
      <c r="I22" s="40"/>
      <c r="J22" s="40"/>
      <c r="K22" s="40"/>
      <c r="L22" s="40"/>
      <c r="M22" s="40"/>
      <c r="N22" s="40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5"/>
      <c r="C23" s="10" t="s">
        <v>6</v>
      </c>
      <c r="D23" s="37"/>
      <c r="E23" s="38"/>
      <c r="F23" s="1"/>
      <c r="G23" s="36"/>
      <c r="H23" s="1"/>
      <c r="I23" s="40"/>
      <c r="J23" s="40"/>
      <c r="K23" s="40"/>
      <c r="L23" s="40"/>
      <c r="M23" s="40"/>
      <c r="N23" s="40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5"/>
      <c r="C24" s="10" t="s">
        <v>7</v>
      </c>
      <c r="D24" s="37"/>
      <c r="E24" s="38"/>
      <c r="F24" s="1"/>
      <c r="G24" s="36"/>
      <c r="H24" s="1"/>
      <c r="I24" s="40"/>
      <c r="J24" s="40"/>
      <c r="K24" s="40"/>
      <c r="L24" s="40"/>
      <c r="M24" s="40"/>
      <c r="N24" s="40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5"/>
      <c r="C25" s="10" t="s">
        <v>8</v>
      </c>
      <c r="D25" s="37"/>
      <c r="E25" s="38"/>
      <c r="F25" s="1"/>
      <c r="G25" s="36"/>
      <c r="H25" s="1"/>
      <c r="I25" s="40"/>
      <c r="J25" s="40"/>
      <c r="K25" s="40"/>
      <c r="L25" s="40"/>
      <c r="M25" s="40"/>
      <c r="N25" s="40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8"/>
      <c r="C26" s="10" t="s">
        <v>9</v>
      </c>
      <c r="D26" s="37"/>
      <c r="E26" s="38"/>
      <c r="F26" s="1"/>
      <c r="G26" s="36"/>
      <c r="H26" s="1"/>
      <c r="I26" s="40"/>
      <c r="J26" s="40"/>
      <c r="K26" s="40"/>
      <c r="L26" s="40"/>
      <c r="M26" s="40"/>
      <c r="N26" s="40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28" t="s">
        <v>19</v>
      </c>
      <c r="C27" s="25"/>
      <c r="D27" s="41" t="str">
        <f t="shared" ref="D27:E27" si="4"> AVERAGE(D22:D26)</f>
        <v>#DIV/0!</v>
      </c>
      <c r="E27" s="41" t="str">
        <f t="shared" si="4"/>
        <v>#DIV/0!</v>
      </c>
      <c r="F27" s="1"/>
      <c r="G27" s="36"/>
      <c r="H27" s="1"/>
      <c r="I27" s="40"/>
      <c r="J27" s="40"/>
      <c r="K27" s="40"/>
      <c r="L27" s="40"/>
      <c r="M27" s="40"/>
      <c r="N27" s="40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31" t="s">
        <v>20</v>
      </c>
      <c r="C28" s="33"/>
      <c r="D28" s="42" t="str">
        <f t="shared" ref="D28:E28" si="5">(2*6*10^-3-D27*633*10^-9)*(1-COS(RADIANS(10)))/(2*6*10^-3*(1-COS(RADIANS(10)))-D27*633*10^-9)</f>
        <v>#DIV/0!</v>
      </c>
      <c r="E28" s="43" t="str">
        <f t="shared" si="5"/>
        <v>#DIV/0!</v>
      </c>
      <c r="F28" s="1"/>
      <c r="G28" s="36"/>
      <c r="H28" s="36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2" t="s">
        <v>21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3" t="s">
        <v>22</v>
      </c>
      <c r="C33" s="5"/>
      <c r="D33" s="6">
        <v>3.0</v>
      </c>
      <c r="E33" s="6">
        <v>6.0</v>
      </c>
      <c r="F33" s="6">
        <v>9.0</v>
      </c>
      <c r="G33" s="6">
        <v>12.0</v>
      </c>
      <c r="H33" s="6">
        <v>15.0</v>
      </c>
      <c r="I33" s="7">
        <v>18.0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8" t="s">
        <v>23</v>
      </c>
      <c r="C34" s="10" t="s">
        <v>3</v>
      </c>
      <c r="D34" s="44"/>
      <c r="E34" s="44"/>
      <c r="F34" s="44"/>
      <c r="G34" s="44"/>
      <c r="H34" s="44"/>
      <c r="I34" s="45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5"/>
      <c r="C35" s="10" t="s">
        <v>6</v>
      </c>
      <c r="D35" s="44"/>
      <c r="E35" s="44"/>
      <c r="F35" s="44"/>
      <c r="G35" s="44"/>
      <c r="H35" s="44"/>
      <c r="I35" s="45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5"/>
      <c r="C36" s="10" t="s">
        <v>7</v>
      </c>
      <c r="D36" s="44"/>
      <c r="E36" s="44"/>
      <c r="F36" s="44"/>
      <c r="G36" s="44"/>
      <c r="H36" s="44"/>
      <c r="I36" s="45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5"/>
      <c r="C37" s="10" t="s">
        <v>8</v>
      </c>
      <c r="D37" s="44"/>
      <c r="E37" s="44"/>
      <c r="F37" s="44"/>
      <c r="G37" s="44"/>
      <c r="H37" s="44"/>
      <c r="I37" s="45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5"/>
      <c r="C38" s="10" t="s">
        <v>9</v>
      </c>
      <c r="D38" s="44"/>
      <c r="E38" s="44"/>
      <c r="F38" s="44"/>
      <c r="G38" s="44"/>
      <c r="H38" s="44"/>
      <c r="I38" s="45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8"/>
      <c r="C39" s="10" t="s">
        <v>24</v>
      </c>
      <c r="D39" s="46" t="str">
        <f t="shared" ref="D39:I39" si="6"> AVERAGE(D34:D38)</f>
        <v>#DIV/0!</v>
      </c>
      <c r="E39" s="46" t="str">
        <f t="shared" si="6"/>
        <v>#DIV/0!</v>
      </c>
      <c r="F39" s="46" t="str">
        <f t="shared" si="6"/>
        <v>#DIV/0!</v>
      </c>
      <c r="G39" s="46" t="str">
        <f t="shared" si="6"/>
        <v>#DIV/0!</v>
      </c>
      <c r="H39" s="46" t="str">
        <f t="shared" si="6"/>
        <v>#DIV/0!</v>
      </c>
      <c r="I39" s="47" t="str">
        <f t="shared" si="6"/>
        <v>#DIV/0!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48" t="s">
        <v>25</v>
      </c>
      <c r="C40" s="33"/>
      <c r="D40" s="49">
        <f t="shared" ref="D40:I40" si="7">D33*633*10^-9/2/0.03*10^5</f>
        <v>3.165</v>
      </c>
      <c r="E40" s="49">
        <f t="shared" si="7"/>
        <v>6.33</v>
      </c>
      <c r="F40" s="49">
        <f t="shared" si="7"/>
        <v>9.495</v>
      </c>
      <c r="G40" s="49">
        <f t="shared" si="7"/>
        <v>12.66</v>
      </c>
      <c r="H40" s="49">
        <f t="shared" si="7"/>
        <v>15.825</v>
      </c>
      <c r="I40" s="50">
        <f t="shared" si="7"/>
        <v>18.99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8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8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8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8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8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8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8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8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8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8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8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8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8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8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8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8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8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8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8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8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8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8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8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8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8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8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8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8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8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8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8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8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8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8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8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8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8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8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8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8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8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8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8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8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8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8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8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8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8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8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8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8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8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8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8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8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8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8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8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8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8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8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8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8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8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8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8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8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8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8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8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8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8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8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8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8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8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8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8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8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8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8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8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8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8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8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8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8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8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8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8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8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8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8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8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8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8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8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8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8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8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8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8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8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8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8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8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8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8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8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8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8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8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8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8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8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8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8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8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8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8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8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8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8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8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8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8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8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8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8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8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8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8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8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8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8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8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8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8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8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8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8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8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8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8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8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8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8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8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8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8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8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8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8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8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8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8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8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8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8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8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8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8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8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8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8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8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8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8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8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8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8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8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8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8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8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8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8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8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8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8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8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8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8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8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8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8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8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8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8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8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8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8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8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8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8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8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8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8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8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8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8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8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8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8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8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8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8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8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8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8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8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8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8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8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8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8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8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8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8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8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8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8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8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8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8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8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8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8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8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8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8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8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8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8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8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8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8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8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8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8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8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8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8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8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8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8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8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8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8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8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8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8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8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8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8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8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8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8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8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8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8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8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8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8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8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8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8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8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8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8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8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8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8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8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8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8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8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8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8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8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8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8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8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8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8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8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8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8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8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8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8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8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8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8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8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8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8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8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8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8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8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8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8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8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8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8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8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8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8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8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8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8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8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8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8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8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8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8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8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8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8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8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8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8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8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8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8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8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8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8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8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8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8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8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8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8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8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8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8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8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8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8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8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8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8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8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8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8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8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8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8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8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8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8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8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8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8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8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8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8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8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8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8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8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8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8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8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8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8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8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8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8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8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8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8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8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8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8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8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8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8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8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8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8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8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8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8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8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8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8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8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8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8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8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8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8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8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8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8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8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8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8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8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8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8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8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8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8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8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8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8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8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8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8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8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8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8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8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8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8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8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8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8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8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8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8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8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8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8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8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8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8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8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8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8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8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8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8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8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8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8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8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8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8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8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8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8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8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8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8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8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8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8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8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8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8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8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8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8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8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8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8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8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8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8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8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8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8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8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8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8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8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8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8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8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8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8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8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8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8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8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8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8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8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8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8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8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8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8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8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8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8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8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8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8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8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8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8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8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8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8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8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8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8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8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8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8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8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8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8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8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8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8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8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8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8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8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8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8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8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8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8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8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8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8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8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8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8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8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8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8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8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8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8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8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8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8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8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8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8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8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8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8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8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8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8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8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8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8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8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8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8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8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8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8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8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8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8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8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8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8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8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8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8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8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8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8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9">
    <mergeCell ref="B14:D14"/>
    <mergeCell ref="B15:E15"/>
    <mergeCell ref="B16:E16"/>
    <mergeCell ref="B17:E17"/>
    <mergeCell ref="F17:J17"/>
    <mergeCell ref="B21:C21"/>
    <mergeCell ref="B22:B26"/>
    <mergeCell ref="B27:C27"/>
    <mergeCell ref="B28:C28"/>
    <mergeCell ref="B33:C33"/>
    <mergeCell ref="B34:B39"/>
    <mergeCell ref="B40:C40"/>
    <mergeCell ref="B3:D3"/>
    <mergeCell ref="B4:B13"/>
    <mergeCell ref="C4:C5"/>
    <mergeCell ref="C6:C7"/>
    <mergeCell ref="C8:C9"/>
    <mergeCell ref="C10:C11"/>
    <mergeCell ref="C12:C13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2024-05-10T13:53:36Z</dcterms:created>
  <dc:creator>楊善筑</dc:creator>
</cp:coreProperties>
</file>