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ic Wang\.gemini\Workspaces\school\one down\普物實驗\14 麥克森干涉實驗\"/>
    </mc:Choice>
  </mc:AlternateContent>
  <xr:revisionPtr revIDLastSave="0" documentId="13_ncr:1_{62826A00-EBC2-4767-8A93-9C15243B5F0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H40" i="1"/>
  <c r="G40" i="1"/>
  <c r="F40" i="1"/>
  <c r="E40" i="1"/>
  <c r="D40" i="1"/>
  <c r="I39" i="1"/>
  <c r="H39" i="1"/>
  <c r="G39" i="1"/>
  <c r="F39" i="1"/>
  <c r="E39" i="1"/>
  <c r="D39" i="1"/>
  <c r="E27" i="1"/>
  <c r="E28" i="1" s="1"/>
  <c r="D27" i="1"/>
  <c r="D28" i="1" s="1"/>
  <c r="J16" i="1"/>
  <c r="I16" i="1"/>
  <c r="H16" i="1"/>
  <c r="G16" i="1"/>
  <c r="F16" i="1"/>
  <c r="J14" i="1"/>
  <c r="J15" i="1" s="1"/>
  <c r="I14" i="1"/>
  <c r="I15" i="1" s="1"/>
  <c r="H14" i="1"/>
  <c r="H15" i="1" s="1"/>
  <c r="G14" i="1"/>
  <c r="G15" i="1" s="1"/>
  <c r="F14" i="1"/>
  <c r="F15" i="1" s="1"/>
  <c r="E14" i="1"/>
  <c r="F17" i="1" l="1"/>
</calcChain>
</file>

<file path=xl/sharedStrings.xml><?xml version="1.0" encoding="utf-8"?>
<sst xmlns="http://schemas.openxmlformats.org/spreadsheetml/2006/main" count="44" uniqueCount="26">
  <si>
    <t>A：用雷射光校正測微器的讀數</t>
  </si>
  <si>
    <t>ΔN</t>
  </si>
  <si>
    <t>測微器
的讀數
(mm)</t>
  </si>
  <si>
    <t>第一次</t>
  </si>
  <si>
    <t>向外</t>
  </si>
  <si>
    <t>向內</t>
  </si>
  <si>
    <t>第二次</t>
  </si>
  <si>
    <t>第三次</t>
  </si>
  <si>
    <t>第四次</t>
  </si>
  <si>
    <t>第五次</t>
  </si>
  <si>
    <t>測微器平均讀數 (mm)</t>
  </si>
  <si>
    <t>測微器讀數的平均變化 Δx (mm)</t>
  </si>
  <si>
    <t>反射鏡移動距離 Δd (mm)</t>
  </si>
  <si>
    <t>測微器每移動0.01mm反射鏡移動距離 (mm)</t>
  </si>
  <si>
    <t>B：測量玻璃（BK7）的折射率</t>
  </si>
  <si>
    <t>角度</t>
  </si>
  <si>
    <t xml:space="preserve">0° -&gt;10° </t>
  </si>
  <si>
    <t xml:space="preserve">10° -&gt;0° </t>
  </si>
  <si>
    <t>干涉圈
移動圈數(N)</t>
  </si>
  <si>
    <t>平均圈數 N</t>
  </si>
  <si>
    <t>平均折射率 n</t>
  </si>
  <si>
    <t>C：氣室的折射率</t>
  </si>
  <si>
    <t>N</t>
  </si>
  <si>
    <t>ΔP
(kPa)</t>
  </si>
  <si>
    <t>平均值</t>
  </si>
  <si>
    <t>Δn (1e-5)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</si>
</sst>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"/>
    <numFmt numFmtId="177" formatCode="0.000_ "/>
    <numFmt numFmtId="178" formatCode="0.00000_ "/>
    <numFmt numFmtId="179" formatCode="0.0"/>
    <numFmt numFmtId="180" formatCode="0.000000"/>
  </numFmts>
  <fonts count="7" x14ac:knownFonts="1">
    <font>
      <sz val="12"/>
      <color theme="1"/>
      <name val="Aptos Narrow"/>
      <scheme val="minor"/>
    </font>
    <font>
      <sz val="9"/>
      <name val="Aptos Narrow"/>
      <family val="3"/>
      <charset val="136"/>
      <scheme val="minor"/>
    </font>
    <font>
      <sz val="12"/>
      <color rgb="FF1F1F1F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1F1F1F"/>
      <name val="標楷體"/>
      <family val="4"/>
      <charset val="136"/>
    </font>
    <font>
      <sz val="12"/>
      <color theme="1"/>
      <name val="標楷體"/>
      <family val="4"/>
      <charset val="161"/>
    </font>
  </fonts>
  <fills count="5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theme="9" tint="0.79998168889431442"/>
        <bgColor rgb="FFD9F2D0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 applyAlignment="1">
      <alignment vertical="center"/>
    </xf>
    <xf numFmtId="0" fontId="2" fillId="4" borderId="14" xfId="0" applyFont="1" applyFill="1" applyBorder="1" applyAlignment="1">
      <alignment horizontal="center" vertical="center" wrapText="1" readingOrder="1"/>
    </xf>
    <xf numFmtId="0" fontId="2" fillId="4" borderId="19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2" borderId="10" xfId="0" applyNumberFormat="1" applyFont="1" applyFill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 indent="1" readingOrder="1"/>
    </xf>
    <xf numFmtId="0" fontId="2" fillId="0" borderId="0" xfId="0" applyFont="1" applyAlignment="1">
      <alignment horizontal="left" vertical="center" wrapText="1" indent="1" readingOrder="1"/>
    </xf>
    <xf numFmtId="0" fontId="3" fillId="0" borderId="12" xfId="0" applyFont="1" applyBorder="1" applyAlignment="1">
      <alignment horizontal="center" vertical="center"/>
    </xf>
    <xf numFmtId="176" fontId="3" fillId="2" borderId="12" xfId="0" applyNumberFormat="1" applyFont="1" applyFill="1" applyBorder="1" applyAlignment="1">
      <alignment horizontal="center" vertical="center"/>
    </xf>
    <xf numFmtId="176" fontId="3" fillId="0" borderId="13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0" borderId="10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2" fontId="3" fillId="0" borderId="0" xfId="0" applyNumberFormat="1" applyFont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76" fontId="3" fillId="0" borderId="21" xfId="0" applyNumberFormat="1" applyFont="1" applyBorder="1" applyAlignment="1">
      <alignment horizontal="center" vertical="center"/>
    </xf>
    <xf numFmtId="176" fontId="3" fillId="0" borderId="22" xfId="0" applyNumberFormat="1" applyFont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179" fontId="3" fillId="2" borderId="1" xfId="0" applyNumberFormat="1" applyFont="1" applyFill="1" applyBorder="1" applyAlignment="1">
      <alignment horizontal="center" vertical="center"/>
    </xf>
    <xf numFmtId="179" fontId="3" fillId="2" borderId="10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9" fontId="3" fillId="0" borderId="10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11" xfId="0" applyBorder="1"/>
    <xf numFmtId="0" fontId="3" fillId="0" borderId="30" xfId="0" applyFont="1" applyBorder="1" applyAlignment="1">
      <alignment horizontal="center" vertical="center"/>
    </xf>
    <xf numFmtId="0" fontId="0" fillId="0" borderId="26" xfId="0" applyBorder="1"/>
    <xf numFmtId="0" fontId="3" fillId="0" borderId="28" xfId="0" applyFont="1" applyBorder="1" applyAlignment="1">
      <alignment horizontal="center" vertical="center"/>
    </xf>
    <xf numFmtId="0" fontId="0" fillId="0" borderId="23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180" fontId="3" fillId="0" borderId="13" xfId="0" applyNumberFormat="1" applyFont="1" applyBorder="1" applyAlignment="1">
      <alignment horizontal="center" vertical="center"/>
    </xf>
    <xf numFmtId="0" fontId="0" fillId="0" borderId="27" xfId="0" applyBorder="1"/>
    <xf numFmtId="0" fontId="3" fillId="0" borderId="20" xfId="0" applyFont="1" applyBorder="1" applyAlignment="1">
      <alignment horizontal="center" vertical="center"/>
    </xf>
    <xf numFmtId="0" fontId="0" fillId="0" borderId="35" xfId="0" applyBorder="1"/>
    <xf numFmtId="0" fontId="6" fillId="0" borderId="29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3" fillId="0" borderId="18" xfId="0" applyFont="1" applyBorder="1" applyAlignment="1">
      <alignment horizontal="center" vertical="center" wrapText="1"/>
    </xf>
    <xf numFmtId="0" fontId="0" fillId="0" borderId="32" xfId="0" applyBorder="1"/>
    <xf numFmtId="0" fontId="0" fillId="0" borderId="33" xfId="0" applyBorder="1"/>
    <xf numFmtId="0" fontId="3" fillId="0" borderId="29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3" fillId="0" borderId="18" xfId="0" applyFont="1" applyBorder="1" applyAlignment="1">
      <alignment horizontal="center" vertical="center"/>
    </xf>
    <xf numFmtId="0" fontId="0" fillId="0" borderId="34" xfId="0" applyBorder="1"/>
    <xf numFmtId="0" fontId="3" fillId="0" borderId="30" xfId="0" applyFont="1" applyBorder="1" applyAlignment="1">
      <alignment horizontal="center" vertical="center" wrapText="1"/>
    </xf>
    <xf numFmtId="0" fontId="0" fillId="0" borderId="24" xfId="0" applyBorder="1"/>
    <xf numFmtId="0" fontId="3" fillId="0" borderId="15" xfId="0" applyFont="1" applyBorder="1" applyAlignment="1">
      <alignment horizontal="center" vertical="center"/>
    </xf>
    <xf numFmtId="0" fontId="0" fillId="0" borderId="31" xfId="0" applyBorder="1"/>
    <xf numFmtId="0" fontId="3" fillId="0" borderId="12" xfId="0" applyFont="1" applyBorder="1" applyAlignment="1">
      <alignment horizontal="center" vertical="center"/>
    </xf>
    <xf numFmtId="0" fontId="0" fillId="0" borderId="25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l-GR" sz="1400" b="0" i="0">
                <a:solidFill>
                  <a:srgbClr val="757575"/>
                </a:solidFill>
                <a:latin typeface="+mn-lt"/>
              </a:rPr>
              <a:t>Δ</a:t>
            </a:r>
            <a:r>
              <a:rPr lang="en-US" sz="1400" b="0" i="0">
                <a:solidFill>
                  <a:srgbClr val="757575"/>
                </a:solidFill>
                <a:latin typeface="+mn-lt"/>
              </a:rPr>
              <a:t>N</a:t>
            </a:r>
            <a:r>
              <a:rPr lang="zh-TW" altLang="en-US" sz="1400" b="0" i="0">
                <a:solidFill>
                  <a:srgbClr val="757575"/>
                </a:solidFill>
                <a:latin typeface="+mn-lt"/>
              </a:rPr>
              <a:t>對</a:t>
            </a:r>
            <a:r>
              <a:rPr lang="el-GR" sz="1400" b="0" i="0">
                <a:solidFill>
                  <a:srgbClr val="757575"/>
                </a:solidFill>
                <a:latin typeface="+mn-lt"/>
              </a:rPr>
              <a:t>Δ</a:t>
            </a:r>
            <a:r>
              <a:rPr lang="en-US" sz="1400" b="0" i="0">
                <a:solidFill>
                  <a:srgbClr val="757575"/>
                </a:solidFill>
                <a:latin typeface="+mn-lt"/>
              </a:rPr>
              <a:t>d</a:t>
            </a:r>
            <a:r>
              <a:rPr lang="zh-TW" altLang="en-US" sz="1400" b="0" i="0">
                <a:solidFill>
                  <a:srgbClr val="757575"/>
                </a:solidFill>
                <a:latin typeface="+mn-lt"/>
              </a:rPr>
              <a:t>的關係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c:spPr>
          </c:marker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工作表1!$F$16:$J$16</c:f>
              <c:numCache>
                <c:formatCode>0.00000_ </c:formatCode>
                <c:ptCount val="5"/>
                <c:pt idx="0">
                  <c:v>3.1650000000000003E-3</c:v>
                </c:pt>
                <c:pt idx="1">
                  <c:v>6.3300000000000006E-3</c:v>
                </c:pt>
                <c:pt idx="2">
                  <c:v>9.495E-3</c:v>
                </c:pt>
                <c:pt idx="3">
                  <c:v>1.2660000000000001E-2</c:v>
                </c:pt>
                <c:pt idx="4">
                  <c:v>1.5825000000000002E-2</c:v>
                </c:pt>
              </c:numCache>
            </c:numRef>
          </c:xVal>
          <c:yVal>
            <c:numRef>
              <c:f>工作表1!$F$3:$J$3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37-48C1-A98E-14D3D1F6E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317256"/>
        <c:axId val="176309947"/>
      </c:scatterChart>
      <c:valAx>
        <c:axId val="11533172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TW" altLang="en-US" sz="1000" b="0" i="0">
                    <a:solidFill>
                      <a:srgbClr val="000000"/>
                    </a:solidFill>
                    <a:latin typeface="+mn-lt"/>
                  </a:rPr>
                  <a:t>反射鏡移動距離 </a:t>
                </a:r>
                <a:r>
                  <a:rPr lang="el-GR" sz="1000" b="0" i="0">
                    <a:solidFill>
                      <a:srgbClr val="000000"/>
                    </a:solidFill>
                    <a:latin typeface="+mn-lt"/>
                  </a:rPr>
                  <a:t>Δ</a:t>
                </a: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d (mm)</a:t>
                </a:r>
              </a:p>
            </c:rich>
          </c:tx>
          <c:overlay val="0"/>
        </c:title>
        <c:numFmt formatCode="0.00000_ 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76309947"/>
        <c:crosses val="autoZero"/>
        <c:crossBetween val="midCat"/>
      </c:valAx>
      <c:valAx>
        <c:axId val="176309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l-GR" sz="1000" b="0" i="0">
                    <a:solidFill>
                      <a:srgbClr val="000000"/>
                    </a:solidFill>
                    <a:latin typeface="+mn-lt"/>
                  </a:rPr>
                  <a:t>Δ</a:t>
                </a: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15331725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l-GR" sz="1400" b="0" i="0">
                <a:solidFill>
                  <a:srgbClr val="757575"/>
                </a:solidFill>
                <a:latin typeface="+mn-lt"/>
              </a:rPr>
              <a:t>Δ</a:t>
            </a:r>
            <a:r>
              <a:rPr lang="en-US" sz="1400" b="0" i="0">
                <a:solidFill>
                  <a:srgbClr val="757575"/>
                </a:solidFill>
                <a:latin typeface="+mn-lt"/>
              </a:rPr>
              <a:t>N</a:t>
            </a:r>
            <a:r>
              <a:rPr lang="zh-TW" altLang="en-US" sz="1400" b="0" i="0">
                <a:solidFill>
                  <a:srgbClr val="757575"/>
                </a:solidFill>
                <a:latin typeface="+mn-lt"/>
              </a:rPr>
              <a:t>對</a:t>
            </a:r>
            <a:r>
              <a:rPr lang="el-GR" sz="1400" b="0" i="0">
                <a:solidFill>
                  <a:srgbClr val="757575"/>
                </a:solidFill>
                <a:latin typeface="+mn-lt"/>
              </a:rPr>
              <a:t>Δ</a:t>
            </a:r>
            <a:r>
              <a:rPr lang="en-US" sz="1400" b="0" i="0">
                <a:solidFill>
                  <a:srgbClr val="757575"/>
                </a:solidFill>
                <a:latin typeface="+mn-lt"/>
              </a:rPr>
              <a:t>x</a:t>
            </a:r>
            <a:r>
              <a:rPr lang="zh-TW" altLang="en-US" sz="1400" b="0" i="0">
                <a:solidFill>
                  <a:srgbClr val="757575"/>
                </a:solidFill>
                <a:latin typeface="+mn-lt"/>
              </a:rPr>
              <a:t>的關係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  <a:prstDash val="solid"/>
              </a:ln>
            </c:spPr>
          </c:marke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工作表1!$F$15:$J$15</c:f>
              <c:numCache>
                <c:formatCode>0.000_ </c:formatCode>
                <c:ptCount val="5"/>
                <c:pt idx="0">
                  <c:v>-0.80100000000000193</c:v>
                </c:pt>
                <c:pt idx="1">
                  <c:v>-1.3989999999999991</c:v>
                </c:pt>
                <c:pt idx="2">
                  <c:v>-2.0080000000000009</c:v>
                </c:pt>
                <c:pt idx="3">
                  <c:v>-2.6270000000000007</c:v>
                </c:pt>
                <c:pt idx="4">
                  <c:v>-3.2450000000000028</c:v>
                </c:pt>
              </c:numCache>
            </c:numRef>
          </c:xVal>
          <c:yVal>
            <c:numRef>
              <c:f>工作表1!$F$3:$J$3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75-45F1-9CBE-59DEDB0DA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588081"/>
        <c:axId val="118592127"/>
      </c:scatterChart>
      <c:valAx>
        <c:axId val="18915880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TW" altLang="en-US" sz="1000" b="0" i="0">
                    <a:solidFill>
                      <a:srgbClr val="000000"/>
                    </a:solidFill>
                    <a:latin typeface="+mn-lt"/>
                  </a:rPr>
                  <a:t>測微器讀數的平均變化 </a:t>
                </a:r>
                <a:r>
                  <a:rPr lang="el-GR" sz="1000" b="0" i="0">
                    <a:solidFill>
                      <a:srgbClr val="000000"/>
                    </a:solidFill>
                    <a:latin typeface="+mn-lt"/>
                  </a:rPr>
                  <a:t>Δ</a:t>
                </a: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x (mm)</a:t>
                </a:r>
              </a:p>
            </c:rich>
          </c:tx>
          <c:overlay val="0"/>
        </c:title>
        <c:numFmt formatCode="0.000_ 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18592127"/>
        <c:crosses val="autoZero"/>
        <c:crossBetween val="midCat"/>
      </c:valAx>
      <c:valAx>
        <c:axId val="1185921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l-GR" sz="1000" b="0" i="0">
                    <a:solidFill>
                      <a:srgbClr val="000000"/>
                    </a:solidFill>
                    <a:latin typeface="+mn-lt"/>
                  </a:rPr>
                  <a:t>Δ</a:t>
                </a: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89158808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l-GR" altLang="zh-TW" sz="1400" b="0" i="0" u="none" strike="noStrike" kern="1200" baseline="0">
                <a:solidFill>
                  <a:srgbClr val="757575"/>
                </a:solidFill>
              </a:rPr>
              <a:t>Δ</a:t>
            </a:r>
            <a:r>
              <a:rPr lang="en-US" altLang="zh-TW" sz="1400" b="0" i="0" u="none" strike="noStrike" kern="1200" baseline="0">
                <a:solidFill>
                  <a:srgbClr val="757575"/>
                </a:solidFill>
              </a:rPr>
              <a:t>n</a:t>
            </a:r>
            <a:r>
              <a:rPr lang="zh-TW" altLang="en-US" sz="1400" b="0" i="0">
                <a:solidFill>
                  <a:srgbClr val="757575"/>
                </a:solidFill>
                <a:latin typeface="+mn-lt"/>
              </a:rPr>
              <a:t>對</a:t>
            </a:r>
            <a:r>
              <a:rPr lang="el-GR" altLang="zh-TW" sz="1400" b="0" i="0" u="none" strike="noStrike" kern="1200" baseline="0">
                <a:solidFill>
                  <a:srgbClr val="757575"/>
                </a:solidFill>
              </a:rPr>
              <a:t>Δ</a:t>
            </a:r>
            <a:r>
              <a:rPr lang="en-US" altLang="zh-TW" sz="1400" b="0" i="0" u="none" strike="noStrike" kern="1200" baseline="0">
                <a:solidFill>
                  <a:srgbClr val="757575"/>
                </a:solidFill>
              </a:rPr>
              <a:t>P</a:t>
            </a:r>
            <a:r>
              <a:rPr lang="zh-TW" altLang="en-US" sz="1400" b="0" i="0">
                <a:solidFill>
                  <a:srgbClr val="757575"/>
                </a:solidFill>
                <a:latin typeface="+mn-lt"/>
              </a:rPr>
              <a:t>作圖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工作表1!$D$39:$I$39</c:f>
              <c:numCache>
                <c:formatCode>0.0</c:formatCode>
                <c:ptCount val="6"/>
                <c:pt idx="0">
                  <c:v>12.2</c:v>
                </c:pt>
                <c:pt idx="1">
                  <c:v>21.6</c:v>
                </c:pt>
                <c:pt idx="2">
                  <c:v>30.8</c:v>
                </c:pt>
                <c:pt idx="3">
                  <c:v>41.1</c:v>
                </c:pt>
                <c:pt idx="4">
                  <c:v>55.1</c:v>
                </c:pt>
                <c:pt idx="5">
                  <c:v>68.3</c:v>
                </c:pt>
              </c:numCache>
            </c:numRef>
          </c:xVal>
          <c:yVal>
            <c:numRef>
              <c:f>工作表1!$D$40:$I$40</c:f>
              <c:numCache>
                <c:formatCode>0.00</c:formatCode>
                <c:ptCount val="6"/>
                <c:pt idx="0">
                  <c:v>3.1650000000000005</c:v>
                </c:pt>
                <c:pt idx="1">
                  <c:v>6.330000000000001</c:v>
                </c:pt>
                <c:pt idx="2">
                  <c:v>9.495000000000001</c:v>
                </c:pt>
                <c:pt idx="3">
                  <c:v>12.660000000000002</c:v>
                </c:pt>
                <c:pt idx="4">
                  <c:v>15.825000000000003</c:v>
                </c:pt>
                <c:pt idx="5">
                  <c:v>18.990000000000002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EB-4430-815F-7C182DD50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393503"/>
        <c:axId val="66207862"/>
      </c:scatterChart>
      <c:valAx>
        <c:axId val="10393935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altLang="zh-TW" sz="1000" b="1" i="0" u="none" strike="noStrike" kern="1200" baseline="0">
                    <a:solidFill>
                      <a:srgbClr val="000000"/>
                    </a:solidFill>
                  </a:rPr>
                  <a:t>Δ</a:t>
                </a:r>
                <a:r>
                  <a:rPr lang="en-US" altLang="zh-TW" sz="1000" b="1" i="0" u="none" strike="noStrike" kern="1200" baseline="0">
                    <a:solidFill>
                      <a:srgbClr val="000000"/>
                    </a:solidFill>
                  </a:rPr>
                  <a:t>P(kPa)</a:t>
                </a:r>
                <a:endParaRPr lang="zh-TW" altLang="en-US" sz="1000" b="1" i="0" u="none" strike="noStrike" kern="1200" baseline="0">
                  <a:solidFill>
                    <a:srgbClr val="000000"/>
                  </a:solidFill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66207862"/>
        <c:crosses val="autoZero"/>
        <c:crossBetween val="midCat"/>
      </c:valAx>
      <c:valAx>
        <c:axId val="6620786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 altLang="zh-TW" sz="1000" b="0" i="0" u="none" strike="noStrike" kern="1200" baseline="0">
                    <a:solidFill>
                      <a:srgbClr val="000000"/>
                    </a:solidFill>
                  </a:rPr>
                  <a:t>Δ</a:t>
                </a:r>
                <a:r>
                  <a:rPr lang="en-US" altLang="zh-TW" sz="1000" b="0" i="0" u="none" strike="noStrike" kern="1200" baseline="0">
                    <a:solidFill>
                      <a:srgbClr val="000000"/>
                    </a:solidFill>
                  </a:rPr>
                  <a:t>n (1e-5)</a:t>
                </a:r>
                <a:endParaRPr lang="zh-TW" altLang="en-US"/>
              </a:p>
            </c:rich>
          </c:tx>
          <c:overlay val="0"/>
        </c:title>
        <c:numFmt formatCode="0.00" sourceLinked="1"/>
        <c:majorTickMark val="cross"/>
        <c:minorTickMark val="cross"/>
        <c:tickLblPos val="nextTo"/>
        <c:spPr>
          <a:ln>
            <a:noFill/>
            <a:prstDash val="solid"/>
          </a:ln>
        </c:spPr>
        <c:crossAx val="1039393503"/>
        <c:crosses val="autoZero"/>
        <c:crossBetween val="midCat"/>
      </c:valAx>
    </c:plotArea>
    <c:plotVisOnly val="1"/>
    <c:dispBlanksAs val="zero"/>
    <c:showDLblsOverMax val="1"/>
  </c:chart>
  <c:spPr>
    <a:ln w="15875" cap="rnd">
      <a:solidFill>
        <a:schemeClr val="tx1">
          <a:tint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215265</xdr:colOff>
      <xdr:row>2</xdr:row>
      <xdr:rowOff>131445</xdr:rowOff>
    </xdr:from>
    <xdr:ext cx="4438650" cy="31337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17</xdr:col>
      <xdr:colOff>554355</xdr:colOff>
      <xdr:row>5</xdr:row>
      <xdr:rowOff>36195</xdr:rowOff>
    </xdr:from>
    <xdr:ext cx="4438650" cy="31337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411480</xdr:colOff>
      <xdr:row>24</xdr:row>
      <xdr:rowOff>132806</xdr:rowOff>
    </xdr:from>
    <xdr:ext cx="4895850" cy="307657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Normal="100" workbookViewId="0">
      <selection activeCell="J2" sqref="F2:J2"/>
    </sheetView>
  </sheetViews>
  <sheetFormatPr defaultColWidth="11.19921875" defaultRowHeight="15" customHeight="1" x14ac:dyDescent="0.3"/>
  <cols>
    <col min="1" max="4" width="8.09765625" style="4" customWidth="1"/>
    <col min="5" max="5" width="11.8984375" style="4" customWidth="1"/>
    <col min="6" max="6" width="9.09765625" style="4" customWidth="1"/>
    <col min="7" max="7" width="9.796875" style="4" customWidth="1"/>
    <col min="8" max="8" width="9.3984375" style="4" customWidth="1"/>
    <col min="9" max="9" width="8.796875" style="4" customWidth="1"/>
    <col min="10" max="10" width="9.796875" style="4" customWidth="1"/>
    <col min="11" max="26" width="8.09765625" style="4" customWidth="1"/>
    <col min="27" max="29" width="11.19921875" style="4" customWidth="1"/>
    <col min="30" max="16384" width="11.19921875" style="4"/>
  </cols>
  <sheetData>
    <row r="1" spans="1:26" ht="18.75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75" customHeight="1" thickBot="1" x14ac:dyDescent="0.35">
      <c r="A2" s="3"/>
      <c r="B2" s="5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.75" customHeight="1" x14ac:dyDescent="0.3">
      <c r="A3" s="3"/>
      <c r="B3" s="44" t="s">
        <v>1</v>
      </c>
      <c r="C3" s="45"/>
      <c r="D3" s="46"/>
      <c r="E3" s="6">
        <v>0</v>
      </c>
      <c r="F3" s="6">
        <v>10</v>
      </c>
      <c r="G3" s="6">
        <v>20</v>
      </c>
      <c r="H3" s="6">
        <v>30</v>
      </c>
      <c r="I3" s="6">
        <v>40</v>
      </c>
      <c r="J3" s="7">
        <v>50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 x14ac:dyDescent="0.3">
      <c r="A4" s="3"/>
      <c r="B4" s="64" t="s">
        <v>2</v>
      </c>
      <c r="C4" s="47" t="s">
        <v>3</v>
      </c>
      <c r="D4" s="8" t="s">
        <v>4</v>
      </c>
      <c r="E4" s="9">
        <v>10</v>
      </c>
      <c r="F4" s="10">
        <v>9.16</v>
      </c>
      <c r="G4" s="10">
        <v>8.5399999999999991</v>
      </c>
      <c r="H4" s="10">
        <v>7.94</v>
      </c>
      <c r="I4" s="10">
        <v>7.28</v>
      </c>
      <c r="J4" s="11">
        <v>6.77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customHeight="1" x14ac:dyDescent="0.3">
      <c r="A5" s="3"/>
      <c r="B5" s="54"/>
      <c r="C5" s="48"/>
      <c r="D5" s="8" t="s">
        <v>5</v>
      </c>
      <c r="E5" s="10">
        <v>10.029999999999999</v>
      </c>
      <c r="F5" s="10">
        <v>9.2899999999999991</v>
      </c>
      <c r="G5" s="10">
        <v>8.6999999999999993</v>
      </c>
      <c r="H5" s="10">
        <v>8.1199999999999992</v>
      </c>
      <c r="I5" s="10">
        <v>7.47</v>
      </c>
      <c r="J5" s="12">
        <v>6.77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 x14ac:dyDescent="0.3">
      <c r="A6" s="3"/>
      <c r="B6" s="54"/>
      <c r="C6" s="47" t="s">
        <v>6</v>
      </c>
      <c r="D6" s="8" t="s">
        <v>4</v>
      </c>
      <c r="E6" s="9">
        <v>10</v>
      </c>
      <c r="F6" s="10">
        <v>9.07</v>
      </c>
      <c r="G6" s="10">
        <v>8.5500000000000007</v>
      </c>
      <c r="H6" s="10">
        <v>7.87</v>
      </c>
      <c r="I6" s="10">
        <v>7.31</v>
      </c>
      <c r="J6" s="11">
        <v>6.77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 x14ac:dyDescent="0.3">
      <c r="A7" s="3"/>
      <c r="B7" s="54"/>
      <c r="C7" s="48"/>
      <c r="D7" s="8" t="s">
        <v>5</v>
      </c>
      <c r="E7" s="10">
        <v>10.029999999999999</v>
      </c>
      <c r="F7" s="10">
        <v>9.34</v>
      </c>
      <c r="G7" s="10">
        <v>8.75</v>
      </c>
      <c r="H7" s="10">
        <v>8.1</v>
      </c>
      <c r="I7" s="10">
        <v>7.47</v>
      </c>
      <c r="J7" s="12">
        <v>6.77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.75" customHeight="1" x14ac:dyDescent="0.3">
      <c r="A8" s="3"/>
      <c r="B8" s="54"/>
      <c r="C8" s="47" t="s">
        <v>7</v>
      </c>
      <c r="D8" s="8" t="s">
        <v>4</v>
      </c>
      <c r="E8" s="9">
        <v>10</v>
      </c>
      <c r="F8" s="10">
        <v>9.1</v>
      </c>
      <c r="G8" s="10">
        <v>8.4700000000000006</v>
      </c>
      <c r="H8" s="10">
        <v>7.9</v>
      </c>
      <c r="I8" s="10">
        <v>7.32</v>
      </c>
      <c r="J8" s="11">
        <v>6.77</v>
      </c>
      <c r="K8" s="3"/>
      <c r="L8" s="3"/>
      <c r="M8" s="3"/>
      <c r="N8" s="3"/>
      <c r="O8" s="3"/>
      <c r="P8" s="3"/>
      <c r="Q8" s="3"/>
      <c r="R8" s="3"/>
      <c r="S8" s="3"/>
      <c r="T8" s="13"/>
      <c r="U8" s="13"/>
      <c r="V8" s="13"/>
      <c r="W8" s="13"/>
      <c r="X8" s="13"/>
      <c r="Y8" s="13"/>
      <c r="Z8" s="13"/>
    </row>
    <row r="9" spans="1:26" ht="18.75" customHeight="1" x14ac:dyDescent="0.3">
      <c r="A9" s="3"/>
      <c r="B9" s="54"/>
      <c r="C9" s="48"/>
      <c r="D9" s="8" t="s">
        <v>5</v>
      </c>
      <c r="E9" s="10">
        <v>10.029999999999999</v>
      </c>
      <c r="F9" s="10">
        <v>9.34</v>
      </c>
      <c r="G9" s="10">
        <v>8.7100000000000009</v>
      </c>
      <c r="H9" s="10">
        <v>8.09</v>
      </c>
      <c r="I9" s="10">
        <v>7.49</v>
      </c>
      <c r="J9" s="12">
        <v>6.77</v>
      </c>
      <c r="K9" s="3"/>
      <c r="L9" s="3"/>
      <c r="M9" s="3"/>
      <c r="N9" s="3"/>
      <c r="O9" s="3"/>
      <c r="P9" s="3"/>
      <c r="Q9" s="3"/>
      <c r="R9" s="3"/>
      <c r="S9" s="3"/>
      <c r="T9" s="13"/>
      <c r="U9" s="14"/>
      <c r="V9" s="14"/>
      <c r="W9" s="14"/>
      <c r="X9" s="14"/>
      <c r="Y9" s="14"/>
      <c r="Z9" s="14"/>
    </row>
    <row r="10" spans="1:26" ht="18.75" customHeight="1" x14ac:dyDescent="0.3">
      <c r="A10" s="3"/>
      <c r="B10" s="54"/>
      <c r="C10" s="47" t="s">
        <v>8</v>
      </c>
      <c r="D10" s="8" t="s">
        <v>4</v>
      </c>
      <c r="E10" s="9">
        <v>10</v>
      </c>
      <c r="F10" s="10">
        <v>9.08</v>
      </c>
      <c r="G10" s="10">
        <v>8.49</v>
      </c>
      <c r="H10" s="10">
        <v>7.92</v>
      </c>
      <c r="I10" s="10">
        <v>7.27</v>
      </c>
      <c r="J10" s="11">
        <v>6.77</v>
      </c>
      <c r="K10" s="3"/>
      <c r="L10" s="3"/>
      <c r="M10" s="3"/>
      <c r="N10" s="3"/>
      <c r="O10" s="3"/>
      <c r="P10" s="3"/>
      <c r="Q10" s="3"/>
      <c r="R10" s="3"/>
      <c r="S10" s="3"/>
      <c r="T10" s="13"/>
      <c r="U10" s="14"/>
      <c r="V10" s="14"/>
      <c r="W10" s="14"/>
      <c r="X10" s="14"/>
      <c r="Y10" s="14"/>
      <c r="Z10" s="14"/>
    </row>
    <row r="11" spans="1:26" ht="18.75" customHeight="1" x14ac:dyDescent="0.3">
      <c r="A11" s="3"/>
      <c r="B11" s="54"/>
      <c r="C11" s="48"/>
      <c r="D11" s="8" t="s">
        <v>5</v>
      </c>
      <c r="E11" s="10">
        <v>10.029999999999999</v>
      </c>
      <c r="F11" s="10">
        <v>9.2899999999999991</v>
      </c>
      <c r="G11" s="10">
        <v>8.74</v>
      </c>
      <c r="H11" s="10">
        <v>8.08</v>
      </c>
      <c r="I11" s="10">
        <v>7.48</v>
      </c>
      <c r="J11" s="12">
        <v>6.77</v>
      </c>
      <c r="K11" s="3"/>
      <c r="L11" s="3"/>
      <c r="M11" s="3"/>
      <c r="N11" s="3"/>
      <c r="O11" s="3"/>
      <c r="P11" s="3"/>
      <c r="Q11" s="3"/>
      <c r="R11" s="3"/>
      <c r="S11" s="3"/>
      <c r="T11" s="14"/>
      <c r="U11" s="14"/>
      <c r="V11" s="14"/>
      <c r="W11" s="14"/>
      <c r="X11" s="14"/>
      <c r="Y11" s="14"/>
      <c r="Z11" s="14"/>
    </row>
    <row r="12" spans="1:26" ht="18.75" customHeight="1" x14ac:dyDescent="0.3">
      <c r="A12" s="3"/>
      <c r="B12" s="54"/>
      <c r="C12" s="68" t="s">
        <v>9</v>
      </c>
      <c r="D12" s="8" t="s">
        <v>4</v>
      </c>
      <c r="E12" s="9">
        <v>10</v>
      </c>
      <c r="F12" s="10">
        <v>9.14</v>
      </c>
      <c r="G12" s="10">
        <v>8.48</v>
      </c>
      <c r="H12" s="10">
        <v>7.91</v>
      </c>
      <c r="I12" s="10">
        <v>7.32</v>
      </c>
      <c r="J12" s="11">
        <v>6.77</v>
      </c>
      <c r="K12" s="3"/>
      <c r="L12" s="3"/>
      <c r="M12" s="3"/>
      <c r="N12" s="3"/>
      <c r="O12" s="3"/>
      <c r="P12" s="3"/>
      <c r="Q12" s="3"/>
      <c r="R12" s="3"/>
      <c r="S12" s="3"/>
      <c r="T12" s="13"/>
      <c r="U12" s="14"/>
      <c r="V12" s="14"/>
      <c r="W12" s="14"/>
      <c r="X12" s="14"/>
      <c r="Y12" s="14"/>
      <c r="Z12" s="14"/>
    </row>
    <row r="13" spans="1:26" ht="18.75" customHeight="1" thickBot="1" x14ac:dyDescent="0.35">
      <c r="A13" s="3"/>
      <c r="B13" s="65"/>
      <c r="C13" s="69"/>
      <c r="D13" s="15" t="s">
        <v>5</v>
      </c>
      <c r="E13" s="16">
        <v>10.029999999999999</v>
      </c>
      <c r="F13" s="16">
        <v>9.33</v>
      </c>
      <c r="G13" s="16">
        <v>8.73</v>
      </c>
      <c r="H13" s="16">
        <v>8.14</v>
      </c>
      <c r="I13" s="16">
        <v>7.47</v>
      </c>
      <c r="J13" s="17">
        <v>6.77</v>
      </c>
      <c r="K13" s="3"/>
      <c r="L13" s="3"/>
      <c r="M13" s="3"/>
      <c r="N13" s="3"/>
      <c r="O13" s="3"/>
      <c r="P13" s="3"/>
      <c r="Q13" s="3"/>
      <c r="R13" s="3"/>
      <c r="S13" s="3"/>
      <c r="T13" s="14"/>
      <c r="U13" s="14"/>
      <c r="V13" s="14"/>
      <c r="W13" s="14"/>
      <c r="X13" s="14"/>
      <c r="Y13" s="14"/>
      <c r="Z13" s="14"/>
    </row>
    <row r="14" spans="1:26" ht="18.75" customHeight="1" x14ac:dyDescent="0.3">
      <c r="A14" s="3"/>
      <c r="B14" s="44" t="s">
        <v>10</v>
      </c>
      <c r="C14" s="45"/>
      <c r="D14" s="46"/>
      <c r="E14" s="18">
        <f t="shared" ref="E14:J14" si="0">AVERAGE(E4:E13)</f>
        <v>10.015000000000001</v>
      </c>
      <c r="F14" s="18">
        <f t="shared" si="0"/>
        <v>9.2139999999999986</v>
      </c>
      <c r="G14" s="18">
        <f t="shared" si="0"/>
        <v>8.6160000000000014</v>
      </c>
      <c r="H14" s="18">
        <f t="shared" si="0"/>
        <v>8.0069999999999997</v>
      </c>
      <c r="I14" s="18">
        <f t="shared" si="0"/>
        <v>7.3879999999999999</v>
      </c>
      <c r="J14" s="19">
        <f t="shared" si="0"/>
        <v>6.7699999999999978</v>
      </c>
      <c r="K14" s="3"/>
      <c r="L14" s="3"/>
      <c r="M14" s="3"/>
      <c r="N14" s="3"/>
      <c r="O14" s="3"/>
      <c r="P14" s="3"/>
      <c r="Q14" s="3"/>
      <c r="R14" s="3"/>
      <c r="S14" s="3"/>
      <c r="T14" s="13"/>
      <c r="U14" s="14"/>
      <c r="V14" s="14"/>
      <c r="W14" s="14"/>
      <c r="X14" s="14"/>
      <c r="Y14" s="14"/>
      <c r="Z14" s="14"/>
    </row>
    <row r="15" spans="1:26" ht="18.75" customHeight="1" x14ac:dyDescent="0.3">
      <c r="A15" s="3"/>
      <c r="B15" s="59" t="s">
        <v>11</v>
      </c>
      <c r="C15" s="60"/>
      <c r="D15" s="60"/>
      <c r="E15" s="61"/>
      <c r="F15" s="20">
        <f>F14 - $E14</f>
        <v>-0.80100000000000193</v>
      </c>
      <c r="G15" s="20">
        <f>G14 - $E14</f>
        <v>-1.3989999999999991</v>
      </c>
      <c r="H15" s="20">
        <f>H14 - $E14</f>
        <v>-2.0080000000000009</v>
      </c>
      <c r="I15" s="20">
        <f>I14 - $E14</f>
        <v>-2.6270000000000007</v>
      </c>
      <c r="J15" s="21">
        <f>J14 - $E14</f>
        <v>-3.2450000000000028</v>
      </c>
      <c r="K15" s="3"/>
      <c r="L15" s="3"/>
      <c r="M15" s="3"/>
      <c r="N15" s="3"/>
      <c r="O15" s="3"/>
      <c r="P15" s="3"/>
      <c r="Q15" s="3"/>
      <c r="R15" s="3"/>
      <c r="S15" s="3"/>
      <c r="T15" s="14"/>
      <c r="U15" s="14"/>
      <c r="V15" s="14"/>
      <c r="W15" s="14"/>
      <c r="X15" s="14"/>
      <c r="Y15" s="14"/>
      <c r="Z15" s="14"/>
    </row>
    <row r="16" spans="1:26" ht="18.75" customHeight="1" x14ac:dyDescent="0.3">
      <c r="A16" s="3"/>
      <c r="B16" s="59" t="s">
        <v>12</v>
      </c>
      <c r="C16" s="60"/>
      <c r="D16" s="60"/>
      <c r="E16" s="61"/>
      <c r="F16" s="22">
        <f>633 * 10^-9 * F3 / 2 *1000</f>
        <v>3.1650000000000003E-3</v>
      </c>
      <c r="G16" s="22">
        <f>633 * 10^-9 * G3 / 2 *1000</f>
        <v>6.3300000000000006E-3</v>
      </c>
      <c r="H16" s="22">
        <f>633 * 10^-9 * H3 / 2 *1000</f>
        <v>9.495E-3</v>
      </c>
      <c r="I16" s="22">
        <f>633 * 10^-9 * I3 / 2 *1000</f>
        <v>1.2660000000000001E-2</v>
      </c>
      <c r="J16" s="23">
        <f>633 * 10^-9 * J3 / 2 *1000</f>
        <v>1.5825000000000002E-2</v>
      </c>
      <c r="K16" s="3"/>
      <c r="L16" s="3"/>
      <c r="M16" s="3"/>
      <c r="N16" s="3"/>
      <c r="O16" s="3"/>
      <c r="P16" s="3"/>
      <c r="Q16" s="3"/>
      <c r="R16" s="3"/>
      <c r="S16" s="3"/>
      <c r="T16" s="13"/>
      <c r="U16" s="14"/>
      <c r="V16" s="14"/>
      <c r="W16" s="14"/>
      <c r="X16" s="14"/>
      <c r="Y16" s="14"/>
      <c r="Z16" s="14"/>
    </row>
    <row r="17" spans="1:26" ht="18.75" customHeight="1" thickBot="1" x14ac:dyDescent="0.35">
      <c r="A17" s="3"/>
      <c r="B17" s="42" t="s">
        <v>13</v>
      </c>
      <c r="C17" s="43"/>
      <c r="D17" s="43"/>
      <c r="E17" s="41"/>
      <c r="F17" s="49">
        <f>(F16/F15 + G16/G15 + H16/H15 + I16/I15 + J16/J15)/500</f>
        <v>-4.5800951618360821E-5</v>
      </c>
      <c r="G17" s="43"/>
      <c r="H17" s="43"/>
      <c r="I17" s="43"/>
      <c r="J17" s="50"/>
      <c r="K17" s="3"/>
      <c r="L17" s="3"/>
      <c r="M17" s="3"/>
      <c r="N17" s="3"/>
      <c r="O17" s="3"/>
      <c r="P17" s="3"/>
      <c r="Q17" s="3"/>
      <c r="R17" s="3"/>
      <c r="S17" s="3"/>
      <c r="T17" s="14"/>
      <c r="U17" s="14"/>
      <c r="V17" s="14"/>
      <c r="W17" s="14"/>
      <c r="X17" s="14"/>
      <c r="Y17" s="14"/>
      <c r="Z17" s="14"/>
    </row>
    <row r="18" spans="1:26" ht="18.7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13"/>
      <c r="U18" s="14"/>
      <c r="V18" s="14"/>
      <c r="W18" s="14"/>
      <c r="X18" s="14"/>
      <c r="Y18" s="14"/>
      <c r="Z18" s="14"/>
    </row>
    <row r="19" spans="1:26" ht="18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ht="18.75" customHeight="1" thickBot="1" x14ac:dyDescent="0.35">
      <c r="A20" s="3"/>
      <c r="B20" s="5" t="s">
        <v>14</v>
      </c>
      <c r="C20" s="3"/>
      <c r="D20" s="3"/>
      <c r="E20" s="3"/>
      <c r="F20" s="3"/>
      <c r="G20" s="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14"/>
      <c r="U20" s="14"/>
      <c r="V20" s="14"/>
      <c r="W20" s="14"/>
      <c r="X20" s="14"/>
      <c r="Y20" s="14"/>
      <c r="Z20" s="14"/>
    </row>
    <row r="21" spans="1:26" ht="18.75" customHeight="1" x14ac:dyDescent="0.3">
      <c r="A21" s="3"/>
      <c r="B21" s="66" t="s">
        <v>15</v>
      </c>
      <c r="C21" s="67"/>
      <c r="D21" s="24" t="s">
        <v>16</v>
      </c>
      <c r="E21" s="25" t="s">
        <v>17</v>
      </c>
      <c r="F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13"/>
      <c r="U21" s="13"/>
      <c r="V21" s="13"/>
      <c r="W21" s="13"/>
      <c r="X21" s="13"/>
      <c r="Y21" s="13"/>
      <c r="Z21" s="13"/>
    </row>
    <row r="22" spans="1:26" ht="18.75" customHeight="1" x14ac:dyDescent="0.3">
      <c r="A22" s="3"/>
      <c r="B22" s="56" t="s">
        <v>18</v>
      </c>
      <c r="C22" s="26" t="s">
        <v>3</v>
      </c>
      <c r="D22" s="1">
        <v>92</v>
      </c>
      <c r="E22" s="2">
        <v>94</v>
      </c>
      <c r="F22" s="3"/>
      <c r="G22" s="27"/>
      <c r="H22" s="3"/>
      <c r="I22" s="28"/>
      <c r="J22" s="28"/>
      <c r="K22" s="28"/>
      <c r="L22" s="28"/>
      <c r="M22" s="28"/>
      <c r="N22" s="28"/>
      <c r="O22" s="3"/>
      <c r="P22" s="3"/>
      <c r="Q22" s="3"/>
      <c r="R22" s="3"/>
      <c r="S22" s="3"/>
      <c r="T22" s="13"/>
      <c r="U22" s="13"/>
      <c r="V22" s="13"/>
      <c r="W22" s="14"/>
      <c r="X22" s="14"/>
      <c r="Y22" s="14"/>
      <c r="Z22" s="14"/>
    </row>
    <row r="23" spans="1:26" ht="18.75" customHeight="1" x14ac:dyDescent="0.3">
      <c r="A23" s="3"/>
      <c r="B23" s="57"/>
      <c r="C23" s="26" t="s">
        <v>6</v>
      </c>
      <c r="D23" s="1">
        <v>88</v>
      </c>
      <c r="E23" s="2">
        <v>91</v>
      </c>
      <c r="F23" s="3"/>
      <c r="H23" s="3"/>
      <c r="I23" s="28"/>
      <c r="J23" s="28"/>
      <c r="K23" s="28"/>
      <c r="L23" s="28"/>
      <c r="M23" s="28"/>
      <c r="N23" s="28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.75" customHeight="1" x14ac:dyDescent="0.3">
      <c r="A24" s="3"/>
      <c r="B24" s="57"/>
      <c r="C24" s="26" t="s">
        <v>7</v>
      </c>
      <c r="D24" s="1">
        <v>95</v>
      </c>
      <c r="E24" s="2">
        <v>96</v>
      </c>
      <c r="F24" s="3"/>
      <c r="H24" s="3"/>
      <c r="I24" s="28"/>
      <c r="J24" s="28"/>
      <c r="K24" s="28"/>
      <c r="L24" s="28"/>
      <c r="M24" s="28"/>
      <c r="N24" s="28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.75" customHeight="1" x14ac:dyDescent="0.3">
      <c r="A25" s="3"/>
      <c r="B25" s="57"/>
      <c r="C25" s="26" t="s">
        <v>8</v>
      </c>
      <c r="D25" s="1">
        <v>91</v>
      </c>
      <c r="E25" s="2">
        <v>92</v>
      </c>
      <c r="F25" s="3"/>
      <c r="H25" s="3"/>
      <c r="I25" s="28"/>
      <c r="J25" s="28"/>
      <c r="K25" s="28"/>
      <c r="L25" s="28"/>
      <c r="M25" s="28"/>
      <c r="N25" s="28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.75" customHeight="1" x14ac:dyDescent="0.3">
      <c r="A26" s="3"/>
      <c r="B26" s="58"/>
      <c r="C26" s="26" t="s">
        <v>9</v>
      </c>
      <c r="D26" s="1">
        <v>93</v>
      </c>
      <c r="E26" s="2">
        <v>95</v>
      </c>
      <c r="F26" s="3"/>
      <c r="H26" s="3"/>
      <c r="I26" s="28"/>
      <c r="J26" s="28"/>
      <c r="K26" s="28"/>
      <c r="L26" s="28"/>
      <c r="M26" s="28"/>
      <c r="N26" s="28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.75" customHeight="1" x14ac:dyDescent="0.3">
      <c r="A27" s="3"/>
      <c r="B27" s="62" t="s">
        <v>19</v>
      </c>
      <c r="C27" s="63"/>
      <c r="D27" s="26">
        <f>AVERAGE(D22:D26)</f>
        <v>91.8</v>
      </c>
      <c r="E27" s="29">
        <f>AVERAGE(E22:E26)</f>
        <v>93.6</v>
      </c>
      <c r="F27" s="3"/>
      <c r="H27" s="3"/>
      <c r="I27" s="28"/>
      <c r="J27" s="28"/>
      <c r="K27" s="28"/>
      <c r="L27" s="28"/>
      <c r="M27" s="28"/>
      <c r="N27" s="28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.75" customHeight="1" thickBot="1" x14ac:dyDescent="0.35">
      <c r="A28" s="3"/>
      <c r="B28" s="51" t="s">
        <v>20</v>
      </c>
      <c r="C28" s="52"/>
      <c r="D28" s="30">
        <f>(2*6*10^-3-D27*633*10^-9)*(1-COS(RADIANS(10)))/(2*6*10^-3*(1-COS(RADIANS(10)))-D27*633*10^-9)</f>
        <v>1.4607706131046883</v>
      </c>
      <c r="E28" s="31">
        <f>(2*6*10^-3-E27*633*10^-9)*(1-COS(RADIANS(10)))/(2*6*10^-3*(1-COS(RADIANS(10)))-E27*633*10^-9)</f>
        <v>1.4741552755990384</v>
      </c>
      <c r="F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.75" customHeight="1" thickBot="1" x14ac:dyDescent="0.35">
      <c r="A32" s="3"/>
      <c r="B32" s="5" t="s">
        <v>21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.75" customHeight="1" x14ac:dyDescent="0.3">
      <c r="A33" s="3"/>
      <c r="B33" s="44" t="s">
        <v>22</v>
      </c>
      <c r="C33" s="46"/>
      <c r="D33" s="6">
        <v>3</v>
      </c>
      <c r="E33" s="6">
        <v>6</v>
      </c>
      <c r="F33" s="6">
        <v>9</v>
      </c>
      <c r="G33" s="6">
        <v>12</v>
      </c>
      <c r="H33" s="6">
        <v>15</v>
      </c>
      <c r="I33" s="7">
        <v>18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.75" customHeight="1" x14ac:dyDescent="0.3">
      <c r="A34" s="3"/>
      <c r="B34" s="53" t="s">
        <v>23</v>
      </c>
      <c r="C34" s="8" t="s">
        <v>3</v>
      </c>
      <c r="D34" s="32">
        <v>14</v>
      </c>
      <c r="E34" s="33">
        <v>20</v>
      </c>
      <c r="F34" s="33">
        <v>33</v>
      </c>
      <c r="G34" s="33">
        <v>38</v>
      </c>
      <c r="H34" s="33">
        <v>58</v>
      </c>
      <c r="I34" s="34">
        <v>65.5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.75" customHeight="1" x14ac:dyDescent="0.3">
      <c r="A35" s="3"/>
      <c r="B35" s="54"/>
      <c r="C35" s="8" t="s">
        <v>6</v>
      </c>
      <c r="D35" s="33">
        <v>9.5</v>
      </c>
      <c r="E35" s="33">
        <v>25</v>
      </c>
      <c r="F35" s="33">
        <v>28.5</v>
      </c>
      <c r="G35" s="33">
        <v>45</v>
      </c>
      <c r="H35" s="33">
        <v>51</v>
      </c>
      <c r="I35" s="34">
        <v>71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.75" customHeight="1" x14ac:dyDescent="0.3">
      <c r="A36" s="3"/>
      <c r="B36" s="54"/>
      <c r="C36" s="8" t="s">
        <v>7</v>
      </c>
      <c r="D36" s="33">
        <v>15</v>
      </c>
      <c r="E36" s="33">
        <v>18</v>
      </c>
      <c r="F36" s="33">
        <v>34.5</v>
      </c>
      <c r="G36" s="33">
        <v>37</v>
      </c>
      <c r="H36" s="33">
        <v>60</v>
      </c>
      <c r="I36" s="34">
        <v>66.5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.75" customHeight="1" x14ac:dyDescent="0.3">
      <c r="A37" s="3"/>
      <c r="B37" s="54"/>
      <c r="C37" s="8" t="s">
        <v>8</v>
      </c>
      <c r="D37" s="33">
        <v>10</v>
      </c>
      <c r="E37" s="33">
        <v>24.5</v>
      </c>
      <c r="F37" s="33">
        <v>27</v>
      </c>
      <c r="G37" s="33">
        <v>44</v>
      </c>
      <c r="H37" s="33">
        <v>52.5</v>
      </c>
      <c r="I37" s="34">
        <v>70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.75" customHeight="1" x14ac:dyDescent="0.3">
      <c r="A38" s="3"/>
      <c r="B38" s="54"/>
      <c r="C38" s="8" t="s">
        <v>9</v>
      </c>
      <c r="D38" s="33">
        <v>12.5</v>
      </c>
      <c r="E38" s="33">
        <v>20.5</v>
      </c>
      <c r="F38" s="33">
        <v>31</v>
      </c>
      <c r="G38" s="33">
        <v>41.5</v>
      </c>
      <c r="H38" s="33">
        <v>54</v>
      </c>
      <c r="I38" s="34">
        <v>68.5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.75" customHeight="1" x14ac:dyDescent="0.3">
      <c r="A39" s="3"/>
      <c r="B39" s="55"/>
      <c r="C39" s="8" t="s">
        <v>24</v>
      </c>
      <c r="D39" s="35">
        <f t="shared" ref="D39:I39" si="1">AVERAGE(D34:D38)</f>
        <v>12.2</v>
      </c>
      <c r="E39" s="35">
        <f t="shared" si="1"/>
        <v>21.6</v>
      </c>
      <c r="F39" s="35">
        <f t="shared" si="1"/>
        <v>30.8</v>
      </c>
      <c r="G39" s="35">
        <f t="shared" si="1"/>
        <v>41.1</v>
      </c>
      <c r="H39" s="35">
        <f t="shared" si="1"/>
        <v>55.1</v>
      </c>
      <c r="I39" s="36">
        <f t="shared" si="1"/>
        <v>68.3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.75" customHeight="1" thickBot="1" x14ac:dyDescent="0.35">
      <c r="A40" s="3"/>
      <c r="B40" s="40" t="s">
        <v>25</v>
      </c>
      <c r="C40" s="41"/>
      <c r="D40" s="37">
        <f t="shared" ref="D40:I40" si="2">D33*633*10^-9/2/0.03*10^5</f>
        <v>3.1650000000000005</v>
      </c>
      <c r="E40" s="37">
        <f t="shared" si="2"/>
        <v>6.330000000000001</v>
      </c>
      <c r="F40" s="37">
        <f t="shared" si="2"/>
        <v>9.495000000000001</v>
      </c>
      <c r="G40" s="37">
        <f t="shared" si="2"/>
        <v>12.660000000000002</v>
      </c>
      <c r="H40" s="37">
        <f t="shared" si="2"/>
        <v>15.825000000000003</v>
      </c>
      <c r="I40" s="38">
        <f t="shared" si="2"/>
        <v>18.990000000000002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.75" customHeight="1" x14ac:dyDescent="0.3">
      <c r="A42" s="3"/>
      <c r="B42" s="3"/>
      <c r="C42" s="3"/>
      <c r="D42" s="39"/>
      <c r="E42" s="39"/>
      <c r="F42" s="39"/>
      <c r="G42" s="39"/>
      <c r="H42" s="39"/>
      <c r="I42" s="39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.75" customHeight="1" x14ac:dyDescent="0.3">
      <c r="A43" s="3"/>
      <c r="B43" s="3"/>
      <c r="C43" s="3"/>
      <c r="D43" s="39"/>
      <c r="E43" s="39"/>
      <c r="F43" s="39"/>
      <c r="G43" s="39"/>
      <c r="H43" s="39"/>
      <c r="I43" s="39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.75" customHeight="1" x14ac:dyDescent="0.3">
      <c r="A44" s="3"/>
      <c r="B44" s="3"/>
      <c r="C44" s="3"/>
      <c r="D44" s="39"/>
      <c r="E44" s="39"/>
      <c r="F44" s="39"/>
      <c r="G44" s="39"/>
      <c r="H44" s="39"/>
      <c r="I44" s="39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8.75" customHeight="1" x14ac:dyDescent="0.3">
      <c r="A45" s="3"/>
      <c r="B45" s="3"/>
      <c r="C45" s="3"/>
      <c r="D45" s="39"/>
      <c r="E45" s="39"/>
      <c r="F45" s="39"/>
      <c r="G45" s="39"/>
      <c r="H45" s="39"/>
      <c r="I45" s="39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8.75" customHeight="1" x14ac:dyDescent="0.3">
      <c r="A46" s="3"/>
      <c r="B46" s="3"/>
      <c r="C46" s="3"/>
      <c r="D46" s="39"/>
      <c r="E46" s="39"/>
      <c r="F46" s="39"/>
      <c r="G46" s="39"/>
      <c r="H46" s="39"/>
      <c r="I46" s="39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8.75" customHeight="1" x14ac:dyDescent="0.3">
      <c r="A47" s="3"/>
      <c r="B47" s="3"/>
      <c r="C47" s="3"/>
      <c r="D47" s="39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8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8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8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8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8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8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8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8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8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8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8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8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8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8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8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8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8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8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8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8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8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8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8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8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8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8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8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8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8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8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8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8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8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8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8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8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8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8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8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8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8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8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8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8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8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8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8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8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8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8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8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8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8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8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8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8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8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8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8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8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8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8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8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8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8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8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8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8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8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8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8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8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8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8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8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8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8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8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8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8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8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8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8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8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8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8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8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8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8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8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8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8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8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8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8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8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8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8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8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8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8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8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8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8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8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8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8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8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8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8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8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8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8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8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8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8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8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8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8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8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8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8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8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8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8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8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8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8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8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8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8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8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8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8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8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8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8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8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8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8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8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8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8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8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8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8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8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8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8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8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8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8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8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8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8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8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8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8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8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8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8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8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8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8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8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8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8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8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8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8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8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8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8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8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8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8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8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8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8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8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8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8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8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8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8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8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8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8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8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8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8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8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8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8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8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8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8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8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8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8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8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8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8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8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8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8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8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8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8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8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8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8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8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8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8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8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8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8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8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8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8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8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8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8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8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8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8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8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8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8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8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8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8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8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8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8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8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8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8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8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8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8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8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8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8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8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8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8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8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8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8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8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8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8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8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8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8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8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8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8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8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8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8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8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8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8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8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8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8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8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8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8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8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8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8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8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8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8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8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8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8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8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8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8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8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8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8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8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8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8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8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8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8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8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8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8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8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8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8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8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8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8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8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8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8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8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8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8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8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8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8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8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8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8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8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8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8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8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8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8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8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8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8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8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8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8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8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8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8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8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8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8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8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8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8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8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8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8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8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8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8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8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8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8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8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8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8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8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8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8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8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8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8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8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8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8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8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8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8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8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8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8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8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8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8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8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8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8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8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8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8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8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8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8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8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8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8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8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8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8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8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8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8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8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8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8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8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8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8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8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8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8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8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8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8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8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8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8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8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8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8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8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8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8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8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8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8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8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8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8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8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8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8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8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8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8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8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8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8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8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8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8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8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8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8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8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8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8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8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8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8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8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8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8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8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8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8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8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8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8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8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8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8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8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8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8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8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8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8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8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8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8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8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8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8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8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8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8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8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8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8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8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8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8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8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8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8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8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8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8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8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8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8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8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8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8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8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8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8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8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8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8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8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8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8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8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8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8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8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8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8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8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8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8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8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8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8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8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8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8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8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8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8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8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8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8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8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8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8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8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8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8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8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8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8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8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8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8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8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8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8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8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8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8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8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8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8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8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8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8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8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8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8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8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8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8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8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8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8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8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8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8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8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8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8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8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8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8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8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8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8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8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8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8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8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8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8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8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8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8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8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8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8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8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8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8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8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8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8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8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8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8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8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8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8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8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8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8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8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8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8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8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8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8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8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8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8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8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8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8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8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8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8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8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8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8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8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8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8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8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8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8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8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8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8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8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8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8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8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8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8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8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8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8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8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8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8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8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8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8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8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8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8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8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8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8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8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8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8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8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8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8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8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8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8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8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8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8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8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8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8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8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8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8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8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8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8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8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8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8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8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8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8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8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8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8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8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8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8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8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8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8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8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8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8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8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8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8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8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8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8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8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8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8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8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8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8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8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8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8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8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8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8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8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8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8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8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8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8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8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8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8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8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8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8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8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8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8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8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8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8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8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8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8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8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8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8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8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8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8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8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8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8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8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8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8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8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8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8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8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8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8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8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8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8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8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8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8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8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8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8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8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8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8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8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8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8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8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8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8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8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8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8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8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8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8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8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8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8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8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8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8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8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8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8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8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8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8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8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8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8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8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8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8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8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8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8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8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8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8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8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8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8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8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8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8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8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8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8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8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8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8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8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8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8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8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8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8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8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8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8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8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8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8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8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8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8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8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8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8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8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8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8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8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8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8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8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8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8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8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8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8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8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8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8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8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8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8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8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8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8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8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8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8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8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8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8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8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8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8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8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8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8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8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8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8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8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8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8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8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8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8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8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8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8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8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8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8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8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8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8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8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8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8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8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8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8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8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8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8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8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8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8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8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8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8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8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8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8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8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8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8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8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8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8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8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8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8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8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8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8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8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8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8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8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8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8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8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8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8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8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8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8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8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8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8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8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8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8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8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8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8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8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8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8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8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8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8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8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8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8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8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8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8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8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8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8.7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8.7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8.7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8.7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8.7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8.7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8.7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8.7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9">
    <mergeCell ref="F17:J17"/>
    <mergeCell ref="C8:C9"/>
    <mergeCell ref="B28:C28"/>
    <mergeCell ref="B34:B39"/>
    <mergeCell ref="B22:B26"/>
    <mergeCell ref="B14:D14"/>
    <mergeCell ref="B15:E15"/>
    <mergeCell ref="C10:C11"/>
    <mergeCell ref="B27:C27"/>
    <mergeCell ref="B4:B13"/>
    <mergeCell ref="B21:C21"/>
    <mergeCell ref="C12:C13"/>
    <mergeCell ref="B16:E16"/>
    <mergeCell ref="B40:C40"/>
    <mergeCell ref="B17:E17"/>
    <mergeCell ref="B3:D3"/>
    <mergeCell ref="B33:C33"/>
    <mergeCell ref="C6:C7"/>
    <mergeCell ref="C4:C5"/>
  </mergeCells>
  <phoneticPr fontId="1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楊善筑</dc:creator>
  <cp:lastModifiedBy>王翊權</cp:lastModifiedBy>
  <dcterms:created xsi:type="dcterms:W3CDTF">2024-05-10T13:53:36Z</dcterms:created>
  <dcterms:modified xsi:type="dcterms:W3CDTF">2026-05-31T21:37:44Z</dcterms:modified>
</cp:coreProperties>
</file>