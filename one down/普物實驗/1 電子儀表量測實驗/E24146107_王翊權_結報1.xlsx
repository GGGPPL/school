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chool\one down\普物實驗\電子儀表量測實驗\"/>
    </mc:Choice>
  </mc:AlternateContent>
  <xr:revisionPtr revIDLastSave="0" documentId="13_ncr:1_{A4B664A5-7B9D-4932-96C1-989DF929B7C8}" xr6:coauthVersionLast="47" xr6:coauthVersionMax="47" xr10:uidLastSave="{00000000-0000-0000-0000-000000000000}"/>
  <bookViews>
    <workbookView xWindow="-110" yWindow="-110" windowWidth="25820" windowHeight="13900" activeTab="1" xr2:uid="{BA451CE6-03D8-4D31-B63F-1EF239697D60}"/>
  </bookViews>
  <sheets>
    <sheet name="工作表1" sheetId="1" r:id="rId1"/>
    <sheet name="工作表2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3" l="1"/>
  <c r="E33" i="3"/>
  <c r="E32" i="3"/>
  <c r="E31" i="3"/>
  <c r="E27" i="3"/>
  <c r="E26" i="3"/>
  <c r="E25" i="3"/>
  <c r="E24" i="3"/>
  <c r="E20" i="3"/>
  <c r="E19" i="3"/>
  <c r="E18" i="3"/>
  <c r="E17" i="3"/>
  <c r="K20" i="3"/>
  <c r="K19" i="3"/>
  <c r="K18" i="3"/>
  <c r="K17" i="3"/>
  <c r="K27" i="3"/>
  <c r="K26" i="3"/>
  <c r="K25" i="3"/>
  <c r="K24" i="3"/>
  <c r="K32" i="3"/>
  <c r="K33" i="3"/>
  <c r="K34" i="3"/>
  <c r="K31" i="3"/>
  <c r="D18" i="3"/>
  <c r="D19" i="3"/>
  <c r="D20" i="3"/>
  <c r="D17" i="3"/>
  <c r="F20" i="3"/>
  <c r="F19" i="3"/>
  <c r="F18" i="3"/>
  <c r="F17" i="3"/>
  <c r="L20" i="3"/>
  <c r="L19" i="3"/>
  <c r="L18" i="3"/>
  <c r="L17" i="3"/>
  <c r="F34" i="3"/>
  <c r="F33" i="3"/>
  <c r="F32" i="3"/>
  <c r="F31" i="3"/>
  <c r="L34" i="3"/>
  <c r="L33" i="3"/>
  <c r="L32" i="3"/>
  <c r="L31" i="3"/>
  <c r="L27" i="3"/>
  <c r="L26" i="3"/>
  <c r="L25" i="3"/>
  <c r="L24" i="3"/>
  <c r="F27" i="3"/>
  <c r="F26" i="3"/>
  <c r="F25" i="3"/>
  <c r="F24" i="3"/>
  <c r="D34" i="3"/>
  <c r="D33" i="3"/>
  <c r="D32" i="3"/>
  <c r="D31" i="3"/>
  <c r="J34" i="3"/>
  <c r="J33" i="3"/>
  <c r="J32" i="3"/>
  <c r="J31" i="3"/>
  <c r="J27" i="3"/>
  <c r="J26" i="3"/>
  <c r="J25" i="3"/>
  <c r="J24" i="3"/>
  <c r="D27" i="3"/>
  <c r="D26" i="3"/>
  <c r="D25" i="3"/>
  <c r="D24" i="3"/>
  <c r="J20" i="3"/>
  <c r="J19" i="3"/>
  <c r="J18" i="3"/>
  <c r="J17" i="3"/>
  <c r="K11" i="3"/>
  <c r="K10" i="3"/>
  <c r="K9" i="3"/>
  <c r="J4" i="3"/>
  <c r="E10" i="3"/>
  <c r="E9" i="3"/>
  <c r="E5" i="3"/>
  <c r="E4" i="3"/>
</calcChain>
</file>

<file path=xl/sharedStrings.xml><?xml version="1.0" encoding="utf-8"?>
<sst xmlns="http://schemas.openxmlformats.org/spreadsheetml/2006/main" count="82" uniqueCount="52">
  <si>
    <t>直流</t>
  </si>
  <si>
    <t>電流</t>
  </si>
  <si>
    <t>a:3.12mA</t>
  </si>
  <si>
    <t>c:1.45mA</t>
  </si>
  <si>
    <t>電壓</t>
  </si>
  <si>
    <t>ab:3.38V</t>
  </si>
  <si>
    <t>cd:1.62V</t>
  </si>
  <si>
    <t>電阻</t>
  </si>
  <si>
    <t>ab:2.1</t>
  </si>
  <si>
    <t>cd:1.05</t>
  </si>
  <si>
    <t>ef:2.07</t>
  </si>
  <si>
    <t>波形產生器</t>
  </si>
  <si>
    <t>電壓（正弦</t>
  </si>
  <si>
    <t>方波</t>
  </si>
  <si>
    <t>三角波</t>
  </si>
  <si>
    <t>頻率</t>
  </si>
  <si>
    <t>正弦</t>
  </si>
  <si>
    <t>自動</t>
  </si>
  <si>
    <t>手動</t>
  </si>
  <si>
    <t>實驗一</t>
  </si>
  <si>
    <t>A：直流電流量測</t>
  </si>
  <si>
    <t>C：交流電壓量測</t>
  </si>
  <si>
    <t>理論值
(mA)</t>
  </si>
  <si>
    <t>實驗值
(mA)</t>
  </si>
  <si>
    <t>百分誤差
(%)</t>
  </si>
  <si>
    <t>理論值
(V)</t>
  </si>
  <si>
    <t>量測值
(V)</t>
  </si>
  <si>
    <t>a點</t>
  </si>
  <si>
    <t>c點</t>
  </si>
  <si>
    <t>B：直流電壓量測</t>
  </si>
  <si>
    <t>D： 電阻量測</t>
  </si>
  <si>
    <t>實驗值
(V)</t>
  </si>
  <si>
    <r>
      <t>理論值
(</t>
    </r>
    <r>
      <rPr>
        <sz val="12"/>
        <color rgb="FF000000"/>
        <rFont val="Calibri"/>
        <family val="2"/>
      </rPr>
      <t>Ω</t>
    </r>
    <r>
      <rPr>
        <sz val="12"/>
        <color rgb="FF000000"/>
        <rFont val="Arial"/>
        <family val="2"/>
      </rPr>
      <t>)</t>
    </r>
  </si>
  <si>
    <r>
      <t>實驗值
(</t>
    </r>
    <r>
      <rPr>
        <sz val="12"/>
        <color rgb="FF000000"/>
        <rFont val="Calibri"/>
        <family val="2"/>
      </rPr>
      <t>Ω</t>
    </r>
    <r>
      <rPr>
        <sz val="12"/>
        <color rgb="FF000000"/>
        <rFont val="Arial"/>
        <family val="2"/>
      </rPr>
      <t>)</t>
    </r>
  </si>
  <si>
    <t>a,b間</t>
  </si>
  <si>
    <t>c,d間</t>
  </si>
  <si>
    <t>e,d間</t>
  </si>
  <si>
    <t>實驗二</t>
  </si>
  <si>
    <t>A：示波器電壓量測 (正弦波)</t>
  </si>
  <si>
    <t>D：示波器頻率量測 (正弦波)</t>
  </si>
  <si>
    <t>函數產生器
設定值
(V)</t>
  </si>
  <si>
    <t>示波器讀值
(Cursor)
(V)</t>
  </si>
  <si>
    <t>百分誤差
(Cursor)
(%)</t>
  </si>
  <si>
    <t>示波器讀值
(Measure)
(V)</t>
  </si>
  <si>
    <t>百分誤差
(Measure)
(%)</t>
  </si>
  <si>
    <t>函數產生器
設定值
(khz)</t>
  </si>
  <si>
    <t>示波器讀值
(Cursor)
(khz)</t>
  </si>
  <si>
    <t>示波器讀值
(Measure)
(khz)</t>
  </si>
  <si>
    <t>B：示波器電壓量測 (方波)</t>
  </si>
  <si>
    <t>E：示波器頻率量測 (方波)</t>
  </si>
  <si>
    <t>C：示波器電壓量測 (三角波)</t>
  </si>
  <si>
    <t>F：示波器頻率量測 (三角波)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</si>
</sst>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Aptos Narrow"/>
      <family val="2"/>
    </font>
    <font>
      <b/>
      <sz val="12"/>
      <color theme="1"/>
      <name val="DFKai-SB"/>
      <family val="4"/>
    </font>
    <font>
      <sz val="12"/>
      <color theme="1"/>
      <name val="DFKai-SB"/>
      <family val="4"/>
    </font>
    <font>
      <sz val="12"/>
      <color rgb="FF000000"/>
      <name val="DFKai-SB"/>
      <family val="4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F2D0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2">
    <xf numFmtId="0" fontId="0" fillId="0" borderId="0">
      <alignment vertical="center"/>
    </xf>
    <xf numFmtId="9" fontId="8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2" xfId="0" applyFont="1" applyBorder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4" fillId="0" borderId="5" xfId="1" applyFont="1" applyBorder="1" applyAlignment="1">
      <alignment horizontal="center" vertical="center" wrapText="1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28435-FEA5-4CAD-B10C-08B91BE4FD21}">
  <dimension ref="C5:L23"/>
  <sheetViews>
    <sheetView topLeftCell="A4" zoomScale="84" zoomScaleNormal="84" workbookViewId="0">
      <selection activeCell="J13" sqref="J13"/>
    </sheetView>
  </sheetViews>
  <sheetFormatPr defaultRowHeight="17"/>
  <cols>
    <col min="4" max="4" width="16.26953125" customWidth="1"/>
  </cols>
  <sheetData>
    <row r="5" spans="3:12">
      <c r="C5" t="s">
        <v>0</v>
      </c>
    </row>
    <row r="6" spans="3:12">
      <c r="D6" t="s">
        <v>1</v>
      </c>
      <c r="E6" t="s">
        <v>2</v>
      </c>
      <c r="F6" t="s">
        <v>3</v>
      </c>
    </row>
    <row r="7" spans="3:12">
      <c r="D7" t="s">
        <v>4</v>
      </c>
      <c r="E7" t="s">
        <v>5</v>
      </c>
      <c r="F7" t="s">
        <v>6</v>
      </c>
    </row>
    <row r="9" spans="3:12">
      <c r="C9" t="s">
        <v>7</v>
      </c>
    </row>
    <row r="10" spans="3:12">
      <c r="D10" t="s">
        <v>8</v>
      </c>
      <c r="E10" t="s">
        <v>9</v>
      </c>
      <c r="F10" t="s">
        <v>10</v>
      </c>
    </row>
    <row r="12" spans="3:12">
      <c r="C12" t="s">
        <v>11</v>
      </c>
    </row>
    <row r="13" spans="3:12">
      <c r="D13" t="s">
        <v>12</v>
      </c>
      <c r="E13">
        <v>1</v>
      </c>
      <c r="F13">
        <v>1.08</v>
      </c>
      <c r="G13">
        <v>3</v>
      </c>
      <c r="H13">
        <v>3.1</v>
      </c>
      <c r="I13">
        <v>6</v>
      </c>
      <c r="J13">
        <v>6.16</v>
      </c>
      <c r="K13">
        <v>9</v>
      </c>
      <c r="L13">
        <v>9.2799999999999994</v>
      </c>
    </row>
    <row r="14" spans="3:12">
      <c r="D14" t="s">
        <v>13</v>
      </c>
      <c r="E14">
        <v>1</v>
      </c>
      <c r="F14">
        <v>1.04</v>
      </c>
      <c r="G14">
        <v>3</v>
      </c>
      <c r="H14">
        <v>3.14</v>
      </c>
      <c r="I14">
        <v>6</v>
      </c>
      <c r="J14">
        <v>6.2</v>
      </c>
      <c r="K14">
        <v>9</v>
      </c>
      <c r="L14">
        <v>9.44</v>
      </c>
    </row>
    <row r="15" spans="3:12">
      <c r="D15" t="s">
        <v>14</v>
      </c>
      <c r="E15">
        <v>1</v>
      </c>
      <c r="F15">
        <v>1.03</v>
      </c>
      <c r="G15">
        <v>3</v>
      </c>
      <c r="H15">
        <v>3.12</v>
      </c>
      <c r="I15">
        <v>6</v>
      </c>
      <c r="J15">
        <v>6.19</v>
      </c>
      <c r="K15">
        <v>9</v>
      </c>
      <c r="L15">
        <v>9.26</v>
      </c>
    </row>
    <row r="17" spans="4:12">
      <c r="D17" t="s">
        <v>15</v>
      </c>
    </row>
    <row r="18" spans="4:12">
      <c r="D18" t="s">
        <v>16</v>
      </c>
      <c r="E18">
        <v>1</v>
      </c>
      <c r="F18">
        <v>0.99729999999999996</v>
      </c>
      <c r="G18">
        <v>10</v>
      </c>
      <c r="H18">
        <v>9.9920000000000009</v>
      </c>
      <c r="I18">
        <v>100</v>
      </c>
      <c r="J18">
        <v>100.30200000000001</v>
      </c>
      <c r="K18">
        <v>1000</v>
      </c>
      <c r="L18">
        <v>999.5</v>
      </c>
    </row>
    <row r="19" spans="4:12">
      <c r="D19" t="s">
        <v>13</v>
      </c>
      <c r="E19">
        <v>1</v>
      </c>
      <c r="F19">
        <v>1</v>
      </c>
      <c r="G19">
        <v>10</v>
      </c>
      <c r="H19">
        <v>10</v>
      </c>
      <c r="I19">
        <v>100</v>
      </c>
      <c r="J19">
        <v>99.98</v>
      </c>
      <c r="K19">
        <v>1000</v>
      </c>
      <c r="L19">
        <v>1000</v>
      </c>
    </row>
    <row r="20" spans="4:12">
      <c r="D20" t="s">
        <v>14</v>
      </c>
      <c r="E20">
        <v>1</v>
      </c>
      <c r="F20">
        <v>1.0009999999999999</v>
      </c>
      <c r="G20">
        <v>10</v>
      </c>
      <c r="H20">
        <v>10.01</v>
      </c>
      <c r="I20">
        <v>100</v>
      </c>
      <c r="J20">
        <v>100</v>
      </c>
      <c r="K20">
        <v>1000</v>
      </c>
      <c r="L20">
        <v>1000</v>
      </c>
    </row>
    <row r="22" spans="4:12">
      <c r="D22" t="s">
        <v>17</v>
      </c>
      <c r="E22">
        <v>3</v>
      </c>
      <c r="F22">
        <v>3.07</v>
      </c>
      <c r="G22">
        <v>6</v>
      </c>
      <c r="H22">
        <v>6.13</v>
      </c>
      <c r="I22">
        <v>9</v>
      </c>
      <c r="J22">
        <v>9.31</v>
      </c>
    </row>
    <row r="23" spans="4:12">
      <c r="D23" t="s">
        <v>18</v>
      </c>
      <c r="E23">
        <v>3</v>
      </c>
      <c r="F23">
        <v>3.09</v>
      </c>
      <c r="G23">
        <v>6</v>
      </c>
      <c r="H23">
        <v>6.11</v>
      </c>
      <c r="I23">
        <v>9</v>
      </c>
      <c r="J23">
        <v>9.27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F4CBB-02DC-4685-A591-E5048922B1D5}">
  <dimension ref="A1:L34"/>
  <sheetViews>
    <sheetView tabSelected="1" zoomScale="92" zoomScaleNormal="92" workbookViewId="0">
      <selection activeCell="O8" sqref="O8"/>
    </sheetView>
  </sheetViews>
  <sheetFormatPr defaultRowHeight="17"/>
  <cols>
    <col min="9" max="9" width="9" bestFit="1" customWidth="1"/>
  </cols>
  <sheetData>
    <row r="1" spans="1:12" ht="17.5" thickBot="1">
      <c r="A1" s="1" t="s">
        <v>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7.5" thickBot="1">
      <c r="A2" s="2"/>
      <c r="B2" s="3" t="s">
        <v>20</v>
      </c>
      <c r="C2" s="4"/>
      <c r="D2" s="4"/>
      <c r="E2" s="4"/>
      <c r="F2" s="2"/>
      <c r="G2" s="2"/>
      <c r="H2" s="3" t="s">
        <v>21</v>
      </c>
      <c r="I2" s="4"/>
      <c r="J2" s="4"/>
      <c r="K2" s="2"/>
      <c r="L2" s="2"/>
    </row>
    <row r="3" spans="1:12" ht="51.5" thickBot="1">
      <c r="A3" s="5"/>
      <c r="B3" s="6"/>
      <c r="C3" s="7" t="s">
        <v>22</v>
      </c>
      <c r="D3" s="7" t="s">
        <v>23</v>
      </c>
      <c r="E3" s="8" t="s">
        <v>24</v>
      </c>
      <c r="F3" s="2"/>
      <c r="G3" s="5"/>
      <c r="H3" s="7" t="s">
        <v>25</v>
      </c>
      <c r="I3" s="7" t="s">
        <v>26</v>
      </c>
      <c r="J3" s="8" t="s">
        <v>24</v>
      </c>
      <c r="K3" s="2"/>
      <c r="L3" s="2"/>
    </row>
    <row r="4" spans="1:12" ht="17.5" thickBot="1">
      <c r="A4" s="5"/>
      <c r="B4" s="7" t="s">
        <v>27</v>
      </c>
      <c r="C4" s="7">
        <v>4</v>
      </c>
      <c r="D4" s="9">
        <v>3.38</v>
      </c>
      <c r="E4" s="15">
        <f>ABS(C4-D4)/C4</f>
        <v>0.15500000000000003</v>
      </c>
      <c r="F4" s="2"/>
      <c r="G4" s="5"/>
      <c r="H4" s="10">
        <v>6</v>
      </c>
      <c r="I4" s="9">
        <v>6.02</v>
      </c>
      <c r="J4" s="15">
        <f>ABS(H4-I4)/H4</f>
        <v>3.3333333333332624E-3</v>
      </c>
      <c r="K4" s="2"/>
      <c r="L4" s="12"/>
    </row>
    <row r="5" spans="1:12" ht="17.5" thickBot="1">
      <c r="A5" s="5"/>
      <c r="B5" s="10" t="s">
        <v>28</v>
      </c>
      <c r="C5" s="10">
        <v>2</v>
      </c>
      <c r="D5" s="13">
        <v>1.45</v>
      </c>
      <c r="E5" s="15">
        <f>ABS(C5-D5)/C5</f>
        <v>0.27500000000000002</v>
      </c>
      <c r="F5" s="2"/>
      <c r="G5" s="2"/>
      <c r="H5" s="2"/>
      <c r="I5" s="2"/>
      <c r="J5" s="2"/>
      <c r="K5" s="2"/>
      <c r="L5" s="12"/>
    </row>
    <row r="6" spans="1:12" ht="17.5" thickBo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  <row r="7" spans="1:12" ht="17.5" thickBot="1">
      <c r="A7" s="2"/>
      <c r="B7" s="3" t="s">
        <v>29</v>
      </c>
      <c r="C7" s="4"/>
      <c r="D7" s="4"/>
      <c r="E7" s="4"/>
      <c r="F7" s="2"/>
      <c r="G7" s="2"/>
      <c r="H7" s="3" t="s">
        <v>30</v>
      </c>
      <c r="I7" s="4"/>
      <c r="J7" s="4"/>
      <c r="K7" s="4"/>
      <c r="L7" s="2"/>
    </row>
    <row r="8" spans="1:12" ht="51.5" thickBot="1">
      <c r="A8" s="5"/>
      <c r="B8" s="6"/>
      <c r="C8" s="7" t="s">
        <v>25</v>
      </c>
      <c r="D8" s="7" t="s">
        <v>31</v>
      </c>
      <c r="E8" s="8" t="s">
        <v>24</v>
      </c>
      <c r="F8" s="2"/>
      <c r="G8" s="5"/>
      <c r="H8" s="6"/>
      <c r="I8" s="14" t="s">
        <v>32</v>
      </c>
      <c r="J8" s="14" t="s">
        <v>33</v>
      </c>
      <c r="K8" s="8" t="s">
        <v>24</v>
      </c>
      <c r="L8" s="2"/>
    </row>
    <row r="9" spans="1:12" ht="17.5" thickBot="1">
      <c r="A9" s="5"/>
      <c r="B9" s="7" t="s">
        <v>34</v>
      </c>
      <c r="C9" s="7">
        <v>4</v>
      </c>
      <c r="D9" s="9">
        <v>3.38</v>
      </c>
      <c r="E9" s="15">
        <f>ABS(C9-D9)/C9</f>
        <v>0.15500000000000003</v>
      </c>
      <c r="F9" s="2"/>
      <c r="G9" s="5"/>
      <c r="H9" s="7" t="s">
        <v>34</v>
      </c>
      <c r="I9" s="7">
        <v>1000</v>
      </c>
      <c r="J9" s="9">
        <v>1073</v>
      </c>
      <c r="K9" s="15">
        <f>ABS(I9-J9)/I9</f>
        <v>7.2999999999999995E-2</v>
      </c>
      <c r="L9" s="2"/>
    </row>
    <row r="10" spans="1:12" ht="17.5" thickBot="1">
      <c r="A10" s="5"/>
      <c r="B10" s="10" t="s">
        <v>35</v>
      </c>
      <c r="C10" s="10">
        <v>2</v>
      </c>
      <c r="D10" s="9">
        <v>1.62</v>
      </c>
      <c r="E10" s="15">
        <f>ABS(C10-D10)/C10</f>
        <v>0.18999999999999995</v>
      </c>
      <c r="F10" s="2"/>
      <c r="G10" s="5"/>
      <c r="H10" s="7" t="s">
        <v>35</v>
      </c>
      <c r="I10" s="7">
        <v>1000</v>
      </c>
      <c r="J10" s="9">
        <v>1050</v>
      </c>
      <c r="K10" s="15">
        <f t="shared" ref="K10:K11" si="0">ABS(I10-J10)/I10</f>
        <v>0.05</v>
      </c>
      <c r="L10" s="2"/>
    </row>
    <row r="11" spans="1:12" ht="17.5" thickBot="1">
      <c r="A11" s="2"/>
      <c r="B11" s="2"/>
      <c r="C11" s="2"/>
      <c r="D11" s="2"/>
      <c r="E11" s="2"/>
      <c r="F11" s="2"/>
      <c r="G11" s="5"/>
      <c r="H11" s="10" t="s">
        <v>36</v>
      </c>
      <c r="I11" s="10">
        <v>2000</v>
      </c>
      <c r="J11" s="9">
        <v>2070</v>
      </c>
      <c r="K11" s="15">
        <f t="shared" si="0"/>
        <v>3.5000000000000003E-2</v>
      </c>
      <c r="L11" s="2"/>
    </row>
    <row r="12" spans="1:12" ht="17.5" thickBo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</row>
    <row r="13" spans="1:12" ht="17.5" thickBo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1:12" ht="17.5" thickBot="1">
      <c r="A14" s="1" t="s">
        <v>37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1:12" ht="17.5" thickBot="1">
      <c r="A15" s="2"/>
      <c r="B15" s="3" t="s">
        <v>38</v>
      </c>
      <c r="C15" s="4"/>
      <c r="D15" s="4"/>
      <c r="E15" s="4"/>
      <c r="F15" s="4"/>
      <c r="G15" s="2"/>
      <c r="H15" s="3" t="s">
        <v>39</v>
      </c>
      <c r="I15" s="4"/>
      <c r="J15" s="4"/>
      <c r="K15" s="4"/>
      <c r="L15" s="4"/>
    </row>
    <row r="16" spans="1:12" ht="85.5" thickBot="1">
      <c r="A16" s="5"/>
      <c r="B16" s="8" t="s">
        <v>40</v>
      </c>
      <c r="C16" s="7" t="s">
        <v>41</v>
      </c>
      <c r="D16" s="8" t="s">
        <v>42</v>
      </c>
      <c r="E16" s="7" t="s">
        <v>43</v>
      </c>
      <c r="F16" s="8" t="s">
        <v>44</v>
      </c>
      <c r="G16" s="5"/>
      <c r="H16" s="8" t="s">
        <v>45</v>
      </c>
      <c r="I16" s="7" t="s">
        <v>46</v>
      </c>
      <c r="J16" s="8" t="s">
        <v>42</v>
      </c>
      <c r="K16" s="7" t="s">
        <v>47</v>
      </c>
      <c r="L16" s="8" t="s">
        <v>44</v>
      </c>
    </row>
    <row r="17" spans="1:12" ht="17.5" thickBot="1">
      <c r="A17" s="5"/>
      <c r="B17" s="8">
        <v>1</v>
      </c>
      <c r="C17" s="9">
        <v>1.08</v>
      </c>
      <c r="D17" s="15">
        <f>ABS(B17-C17)/B17</f>
        <v>8.0000000000000071E-2</v>
      </c>
      <c r="E17" s="9">
        <f>C17</f>
        <v>1.08</v>
      </c>
      <c r="F17" s="15">
        <f t="shared" ref="F17:F20" si="1">ABS(B17-E17)/B17</f>
        <v>8.0000000000000071E-2</v>
      </c>
      <c r="G17" s="5"/>
      <c r="H17" s="8">
        <v>1</v>
      </c>
      <c r="I17" s="9">
        <v>0.99729999999999996</v>
      </c>
      <c r="J17" s="15">
        <f t="shared" ref="J17:J20" si="2">ABS(H17-I17)/H17</f>
        <v>2.7000000000000357E-3</v>
      </c>
      <c r="K17" s="9">
        <f>I17</f>
        <v>0.99729999999999996</v>
      </c>
      <c r="L17" s="15">
        <f t="shared" ref="L17:L20" si="3">ABS(H17-K17)/H17</f>
        <v>2.7000000000000357E-3</v>
      </c>
    </row>
    <row r="18" spans="1:12" ht="17.5" thickBot="1">
      <c r="A18" s="5"/>
      <c r="B18" s="8">
        <v>3</v>
      </c>
      <c r="C18" s="9">
        <v>3.1</v>
      </c>
      <c r="D18" s="15">
        <f t="shared" ref="D18:D20" si="4">ABS(B18-C18)/B18</f>
        <v>3.3333333333333361E-2</v>
      </c>
      <c r="E18" s="9">
        <f t="shared" ref="E18:E20" si="5">C18</f>
        <v>3.1</v>
      </c>
      <c r="F18" s="15">
        <f t="shared" si="1"/>
        <v>3.3333333333333361E-2</v>
      </c>
      <c r="G18" s="5"/>
      <c r="H18" s="8">
        <v>10</v>
      </c>
      <c r="I18" s="9">
        <v>9.9920000000000009</v>
      </c>
      <c r="J18" s="15">
        <f t="shared" si="2"/>
        <v>7.9999999999991189E-4</v>
      </c>
      <c r="K18" s="9">
        <f t="shared" ref="K18:K20" si="6">I18</f>
        <v>9.9920000000000009</v>
      </c>
      <c r="L18" s="15">
        <f t="shared" si="3"/>
        <v>7.9999999999991189E-4</v>
      </c>
    </row>
    <row r="19" spans="1:12" ht="17.5" thickBot="1">
      <c r="A19" s="5"/>
      <c r="B19" s="8">
        <v>6</v>
      </c>
      <c r="C19" s="9">
        <v>6.16</v>
      </c>
      <c r="D19" s="15">
        <f t="shared" si="4"/>
        <v>2.6666666666666689E-2</v>
      </c>
      <c r="E19" s="9">
        <f t="shared" si="5"/>
        <v>6.16</v>
      </c>
      <c r="F19" s="15">
        <f t="shared" si="1"/>
        <v>2.6666666666666689E-2</v>
      </c>
      <c r="G19" s="5"/>
      <c r="H19" s="8">
        <v>100</v>
      </c>
      <c r="I19" s="9">
        <v>100.30200000000001</v>
      </c>
      <c r="J19" s="15">
        <f t="shared" si="2"/>
        <v>3.0200000000000669E-3</v>
      </c>
      <c r="K19" s="9">
        <f t="shared" si="6"/>
        <v>100.30200000000001</v>
      </c>
      <c r="L19" s="15">
        <f t="shared" si="3"/>
        <v>3.0200000000000669E-3</v>
      </c>
    </row>
    <row r="20" spans="1:12" ht="17.5" thickBot="1">
      <c r="A20" s="5"/>
      <c r="B20" s="11">
        <v>9</v>
      </c>
      <c r="C20" s="9">
        <v>9.2799999999999994</v>
      </c>
      <c r="D20" s="15">
        <f t="shared" si="4"/>
        <v>3.1111111111111041E-2</v>
      </c>
      <c r="E20" s="9">
        <f t="shared" si="5"/>
        <v>9.2799999999999994</v>
      </c>
      <c r="F20" s="15">
        <f t="shared" si="1"/>
        <v>3.1111111111111041E-2</v>
      </c>
      <c r="G20" s="5"/>
      <c r="H20" s="11">
        <v>1000</v>
      </c>
      <c r="I20" s="9">
        <v>999.5</v>
      </c>
      <c r="J20" s="15">
        <f t="shared" si="2"/>
        <v>5.0000000000000001E-4</v>
      </c>
      <c r="K20" s="9">
        <f t="shared" si="6"/>
        <v>999.5</v>
      </c>
      <c r="L20" s="15">
        <f t="shared" si="3"/>
        <v>5.0000000000000001E-4</v>
      </c>
    </row>
    <row r="21" spans="1:12" ht="17.5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</row>
    <row r="22" spans="1:12" ht="17.5" thickBot="1">
      <c r="A22" s="2"/>
      <c r="B22" s="3" t="s">
        <v>48</v>
      </c>
      <c r="C22" s="4"/>
      <c r="D22" s="4"/>
      <c r="E22" s="4"/>
      <c r="F22" s="4"/>
      <c r="G22" s="2"/>
      <c r="H22" s="3" t="s">
        <v>49</v>
      </c>
      <c r="I22" s="4"/>
      <c r="J22" s="4"/>
      <c r="K22" s="4"/>
      <c r="L22" s="4"/>
    </row>
    <row r="23" spans="1:12" ht="85.5" thickBot="1">
      <c r="A23" s="5"/>
      <c r="B23" s="8" t="s">
        <v>40</v>
      </c>
      <c r="C23" s="7" t="s">
        <v>41</v>
      </c>
      <c r="D23" s="8" t="s">
        <v>42</v>
      </c>
      <c r="E23" s="7" t="s">
        <v>43</v>
      </c>
      <c r="F23" s="8" t="s">
        <v>44</v>
      </c>
      <c r="G23" s="5"/>
      <c r="H23" s="8" t="s">
        <v>45</v>
      </c>
      <c r="I23" s="7" t="s">
        <v>46</v>
      </c>
      <c r="J23" s="8" t="s">
        <v>42</v>
      </c>
      <c r="K23" s="7" t="s">
        <v>47</v>
      </c>
      <c r="L23" s="8" t="s">
        <v>44</v>
      </c>
    </row>
    <row r="24" spans="1:12" ht="17.5" thickBot="1">
      <c r="A24" s="5"/>
      <c r="B24" s="8">
        <v>1</v>
      </c>
      <c r="C24" s="9">
        <v>1.04</v>
      </c>
      <c r="D24" s="15">
        <f>ABS(B24-C17)/B24</f>
        <v>8.0000000000000071E-2</v>
      </c>
      <c r="E24" s="9">
        <f>C24</f>
        <v>1.04</v>
      </c>
      <c r="F24" s="15">
        <f>ABS(B24-E24)/B24</f>
        <v>4.0000000000000036E-2</v>
      </c>
      <c r="G24" s="5"/>
      <c r="H24" s="8">
        <v>1</v>
      </c>
      <c r="I24" s="9">
        <v>1</v>
      </c>
      <c r="J24" s="15">
        <f t="shared" ref="J24:J27" si="7">ABS(H24-I24)/H24</f>
        <v>0</v>
      </c>
      <c r="K24" s="9">
        <f>I24</f>
        <v>1</v>
      </c>
      <c r="L24" s="15">
        <f t="shared" ref="L24:L27" si="8">ABS(H24-K24)/H24</f>
        <v>0</v>
      </c>
    </row>
    <row r="25" spans="1:12" ht="17.5" thickBot="1">
      <c r="A25" s="5"/>
      <c r="B25" s="8">
        <v>3</v>
      </c>
      <c r="C25" s="9">
        <v>3.14</v>
      </c>
      <c r="D25" s="15">
        <f>ABS(B25-C18)/B25</f>
        <v>3.3333333333333361E-2</v>
      </c>
      <c r="E25" s="9">
        <f t="shared" ref="E25:E27" si="9">C25</f>
        <v>3.14</v>
      </c>
      <c r="F25" s="15">
        <f t="shared" ref="F25:F27" si="10">ABS(B25-E25)/B25</f>
        <v>4.666666666666671E-2</v>
      </c>
      <c r="G25" s="5"/>
      <c r="H25" s="8">
        <v>10</v>
      </c>
      <c r="I25" s="9">
        <v>10</v>
      </c>
      <c r="J25" s="15">
        <f t="shared" si="7"/>
        <v>0</v>
      </c>
      <c r="K25" s="9">
        <f t="shared" ref="K25:K27" si="11">I25</f>
        <v>10</v>
      </c>
      <c r="L25" s="15">
        <f t="shared" si="8"/>
        <v>0</v>
      </c>
    </row>
    <row r="26" spans="1:12" ht="17.5" thickBot="1">
      <c r="A26" s="5"/>
      <c r="B26" s="8">
        <v>6</v>
      </c>
      <c r="C26" s="9">
        <v>6.2</v>
      </c>
      <c r="D26" s="15">
        <f>ABS(B26-C19)/B26</f>
        <v>2.6666666666666689E-2</v>
      </c>
      <c r="E26" s="9">
        <f t="shared" si="9"/>
        <v>6.2</v>
      </c>
      <c r="F26" s="15">
        <f t="shared" si="10"/>
        <v>3.3333333333333361E-2</v>
      </c>
      <c r="G26" s="5"/>
      <c r="H26" s="8">
        <v>100</v>
      </c>
      <c r="I26" s="9">
        <v>99.8</v>
      </c>
      <c r="J26" s="15">
        <f t="shared" si="7"/>
        <v>2.0000000000000282E-3</v>
      </c>
      <c r="K26" s="9">
        <f t="shared" si="11"/>
        <v>99.8</v>
      </c>
      <c r="L26" s="15">
        <f t="shared" si="8"/>
        <v>2.0000000000000282E-3</v>
      </c>
    </row>
    <row r="27" spans="1:12" ht="17.5" thickBot="1">
      <c r="A27" s="5"/>
      <c r="B27" s="11">
        <v>9</v>
      </c>
      <c r="C27" s="9">
        <v>9.44</v>
      </c>
      <c r="D27" s="15">
        <f>ABS(B27-C20)/B27</f>
        <v>3.1111111111111041E-2</v>
      </c>
      <c r="E27" s="9">
        <f t="shared" si="9"/>
        <v>9.44</v>
      </c>
      <c r="F27" s="15">
        <f t="shared" si="10"/>
        <v>4.8888888888888836E-2</v>
      </c>
      <c r="G27" s="5"/>
      <c r="H27" s="11">
        <v>1000</v>
      </c>
      <c r="I27" s="9">
        <v>1000</v>
      </c>
      <c r="J27" s="15">
        <f t="shared" si="7"/>
        <v>0</v>
      </c>
      <c r="K27" s="9">
        <f t="shared" si="11"/>
        <v>1000</v>
      </c>
      <c r="L27" s="15">
        <f t="shared" si="8"/>
        <v>0</v>
      </c>
    </row>
    <row r="28" spans="1:12" ht="17.5" thickBot="1">
      <c r="A28" s="2"/>
      <c r="B28" s="2"/>
      <c r="C28" s="2"/>
      <c r="D28" s="2"/>
      <c r="E28" s="2"/>
      <c r="F28" s="2"/>
      <c r="G28" s="2"/>
      <c r="H28" s="2"/>
      <c r="I28" s="2"/>
      <c r="J28" s="2"/>
      <c r="L28" s="2"/>
    </row>
    <row r="29" spans="1:12" ht="17.5" thickBot="1">
      <c r="A29" s="2"/>
      <c r="B29" s="3" t="s">
        <v>50</v>
      </c>
      <c r="C29" s="4"/>
      <c r="D29" s="4"/>
      <c r="E29" s="4"/>
      <c r="F29" s="4"/>
      <c r="G29" s="2"/>
      <c r="H29" s="3" t="s">
        <v>51</v>
      </c>
      <c r="I29" s="4"/>
      <c r="J29" s="4"/>
      <c r="K29" s="4"/>
      <c r="L29" s="4"/>
    </row>
    <row r="30" spans="1:12" ht="85.5" thickBot="1">
      <c r="A30" s="5"/>
      <c r="B30" s="8" t="s">
        <v>40</v>
      </c>
      <c r="C30" s="7" t="s">
        <v>41</v>
      </c>
      <c r="D30" s="8" t="s">
        <v>42</v>
      </c>
      <c r="E30" s="7" t="s">
        <v>43</v>
      </c>
      <c r="F30" s="8" t="s">
        <v>44</v>
      </c>
      <c r="G30" s="5"/>
      <c r="H30" s="8" t="s">
        <v>45</v>
      </c>
      <c r="I30" s="7" t="s">
        <v>46</v>
      </c>
      <c r="J30" s="8" t="s">
        <v>42</v>
      </c>
      <c r="K30" s="7" t="s">
        <v>47</v>
      </c>
      <c r="L30" s="8" t="s">
        <v>44</v>
      </c>
    </row>
    <row r="31" spans="1:12" ht="17.5" thickBot="1">
      <c r="A31" s="5"/>
      <c r="B31" s="8">
        <v>1</v>
      </c>
      <c r="C31" s="9">
        <v>1.03</v>
      </c>
      <c r="D31" s="15">
        <f t="shared" ref="D31:D34" si="12">ABS(B31-C31)/B31</f>
        <v>3.0000000000000027E-2</v>
      </c>
      <c r="E31" s="9">
        <f>C31</f>
        <v>1.03</v>
      </c>
      <c r="F31" s="15">
        <f t="shared" ref="F31:F34" si="13">ABS(B31-E31)/B31</f>
        <v>3.0000000000000027E-2</v>
      </c>
      <c r="G31" s="5"/>
      <c r="H31" s="8">
        <v>1</v>
      </c>
      <c r="I31" s="9">
        <v>1.0009999999999999</v>
      </c>
      <c r="J31" s="15">
        <f t="shared" ref="J31:J34" si="14">ABS(H31-I31)/H31</f>
        <v>9.9999999999988987E-4</v>
      </c>
      <c r="K31" s="9">
        <f>I31</f>
        <v>1.0009999999999999</v>
      </c>
      <c r="L31" s="15">
        <f t="shared" ref="L31:L34" si="15">ABS(H31-K31)/H31</f>
        <v>9.9999999999988987E-4</v>
      </c>
    </row>
    <row r="32" spans="1:12" ht="17.5" thickBot="1">
      <c r="A32" s="5"/>
      <c r="B32" s="8">
        <v>3</v>
      </c>
      <c r="C32" s="9">
        <v>3.12</v>
      </c>
      <c r="D32" s="15">
        <f t="shared" si="12"/>
        <v>4.0000000000000036E-2</v>
      </c>
      <c r="E32" s="9">
        <f t="shared" ref="E32:E34" si="16">C32</f>
        <v>3.12</v>
      </c>
      <c r="F32" s="15">
        <f t="shared" si="13"/>
        <v>4.0000000000000036E-2</v>
      </c>
      <c r="G32" s="5"/>
      <c r="H32" s="8">
        <v>10</v>
      </c>
      <c r="I32" s="9">
        <v>10.01</v>
      </c>
      <c r="J32" s="15">
        <f t="shared" si="14"/>
        <v>9.9999999999997877E-4</v>
      </c>
      <c r="K32" s="9">
        <f t="shared" ref="K32:K34" si="17">I32</f>
        <v>10.01</v>
      </c>
      <c r="L32" s="15">
        <f t="shared" si="15"/>
        <v>9.9999999999997877E-4</v>
      </c>
    </row>
    <row r="33" spans="1:12" ht="17.5" thickBot="1">
      <c r="A33" s="5"/>
      <c r="B33" s="8">
        <v>6</v>
      </c>
      <c r="C33" s="9">
        <v>6.19</v>
      </c>
      <c r="D33" s="15">
        <f t="shared" si="12"/>
        <v>3.1666666666666732E-2</v>
      </c>
      <c r="E33" s="9">
        <f t="shared" si="16"/>
        <v>6.19</v>
      </c>
      <c r="F33" s="15">
        <f t="shared" si="13"/>
        <v>3.1666666666666732E-2</v>
      </c>
      <c r="G33" s="5"/>
      <c r="H33" s="8">
        <v>100</v>
      </c>
      <c r="I33" s="9">
        <v>100</v>
      </c>
      <c r="J33" s="15">
        <f t="shared" si="14"/>
        <v>0</v>
      </c>
      <c r="K33" s="9">
        <f t="shared" si="17"/>
        <v>100</v>
      </c>
      <c r="L33" s="15">
        <f t="shared" si="15"/>
        <v>0</v>
      </c>
    </row>
    <row r="34" spans="1:12" ht="17.5" thickBot="1">
      <c r="A34" s="5"/>
      <c r="B34" s="11">
        <v>9</v>
      </c>
      <c r="C34" s="9">
        <v>9.26</v>
      </c>
      <c r="D34" s="15">
        <f t="shared" si="12"/>
        <v>2.8888888888888867E-2</v>
      </c>
      <c r="E34" s="9">
        <f t="shared" si="16"/>
        <v>9.26</v>
      </c>
      <c r="F34" s="15">
        <f t="shared" si="13"/>
        <v>2.8888888888888867E-2</v>
      </c>
      <c r="G34" s="5"/>
      <c r="H34" s="11">
        <v>1000</v>
      </c>
      <c r="I34" s="9">
        <v>1000</v>
      </c>
      <c r="J34" s="15">
        <f t="shared" si="14"/>
        <v>0</v>
      </c>
      <c r="K34" s="9">
        <f t="shared" si="17"/>
        <v>1000</v>
      </c>
      <c r="L34" s="15">
        <f t="shared" si="15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asa_wang</dc:creator>
  <cp:lastModifiedBy>asa_wang</cp:lastModifiedBy>
  <dcterms:created xsi:type="dcterms:W3CDTF">2026-02-23T00:45:56Z</dcterms:created>
  <dcterms:modified xsi:type="dcterms:W3CDTF">2026-02-25T14:54:49Z</dcterms:modified>
</cp:coreProperties>
</file>