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 Wang\.gemini\Workspaces\school\one down\普物實驗\11 干涉與繞射\"/>
    </mc:Choice>
  </mc:AlternateContent>
  <xr:revisionPtr revIDLastSave="0" documentId="13_ncr:1_{A3042D32-AAE7-47E7-925B-1F706E3DF5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實驗數據" sheetId="1" r:id="rId1"/>
    <sheet name="計算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BxvqwuCG9oJFDHKjhB0M+WSK+gqI1yBTd5sIXF3LHI="/>
    </ext>
  </extLst>
</workbook>
</file>

<file path=xl/calcChain.xml><?xml version="1.0" encoding="utf-8"?>
<calcChain xmlns="http://schemas.openxmlformats.org/spreadsheetml/2006/main">
  <c r="I111" i="1" l="1"/>
  <c r="R114" i="1"/>
  <c r="R113" i="1"/>
  <c r="I110" i="1"/>
  <c r="H113" i="1"/>
  <c r="I123" i="1"/>
  <c r="K105" i="1"/>
  <c r="H104" i="1"/>
  <c r="H106" i="1" s="1"/>
  <c r="G46" i="1"/>
  <c r="R111" i="1"/>
  <c r="R110" i="1"/>
  <c r="R6" i="2"/>
  <c r="Q6" i="2"/>
  <c r="P6" i="2"/>
  <c r="O6" i="2"/>
  <c r="H6" i="2"/>
  <c r="G6" i="2"/>
  <c r="E6" i="2"/>
  <c r="R4" i="2"/>
  <c r="Q4" i="2"/>
  <c r="P4" i="2"/>
  <c r="O4" i="2"/>
  <c r="H4" i="2"/>
  <c r="G4" i="2"/>
  <c r="E4" i="2"/>
  <c r="N3" i="2"/>
  <c r="D3" i="2"/>
  <c r="R125" i="1"/>
  <c r="I125" i="1"/>
  <c r="R123" i="1"/>
  <c r="Q113" i="1"/>
  <c r="Q110" i="1"/>
  <c r="H110" i="1"/>
  <c r="T105" i="1"/>
  <c r="S105" i="1"/>
  <c r="R105" i="1"/>
  <c r="Q105" i="1"/>
  <c r="P105" i="1"/>
  <c r="Q125" i="1" s="1"/>
  <c r="R128" i="1" s="1"/>
  <c r="O105" i="1"/>
  <c r="Q123" i="1" s="1"/>
  <c r="P128" i="1" s="1"/>
  <c r="J105" i="1"/>
  <c r="I105" i="1"/>
  <c r="H105" i="1"/>
  <c r="G105" i="1"/>
  <c r="H125" i="1" s="1"/>
  <c r="I128" i="1" s="1"/>
  <c r="F105" i="1"/>
  <c r="H123" i="1" s="1"/>
  <c r="G128" i="1" s="1"/>
  <c r="T104" i="1"/>
  <c r="T106" i="1" s="1"/>
  <c r="S104" i="1"/>
  <c r="S106" i="1" s="1"/>
  <c r="R104" i="1"/>
  <c r="R106" i="1" s="1"/>
  <c r="Q104" i="1"/>
  <c r="Q106" i="1" s="1"/>
  <c r="P104" i="1"/>
  <c r="O104" i="1"/>
  <c r="K104" i="1"/>
  <c r="J104" i="1"/>
  <c r="I104" i="1"/>
  <c r="G104" i="1"/>
  <c r="F104" i="1"/>
  <c r="T100" i="1"/>
  <c r="S100" i="1"/>
  <c r="R100" i="1"/>
  <c r="Q100" i="1"/>
  <c r="P100" i="1"/>
  <c r="O100" i="1"/>
  <c r="K100" i="1"/>
  <c r="J100" i="1"/>
  <c r="I100" i="1"/>
  <c r="H100" i="1"/>
  <c r="F100" i="1"/>
  <c r="I113" i="1" s="1"/>
  <c r="V9" i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8" i="1" s="1"/>
  <c r="T9" i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R9" i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P9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R115" i="1" l="1"/>
  <c r="I112" i="1"/>
  <c r="J112" i="1" s="1"/>
  <c r="F106" i="1"/>
  <c r="G106" i="1"/>
  <c r="I106" i="1"/>
  <c r="K106" i="1"/>
  <c r="O106" i="1"/>
  <c r="J106" i="1"/>
  <c r="P106" i="1"/>
  <c r="S111" i="1"/>
  <c r="P7" i="2"/>
  <c r="H5" i="2"/>
  <c r="J111" i="1"/>
  <c r="Q7" i="2"/>
  <c r="R7" i="2"/>
  <c r="H7" i="2"/>
  <c r="G7" i="2"/>
  <c r="R5" i="2"/>
  <c r="Q5" i="2"/>
  <c r="P5" i="2"/>
  <c r="G5" i="2"/>
  <c r="G47" i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E7" i="2"/>
  <c r="O7" i="2"/>
  <c r="S6" i="2"/>
  <c r="O5" i="2"/>
  <c r="S4" i="2"/>
  <c r="E5" i="2"/>
  <c r="S110" i="1"/>
  <c r="R112" i="1"/>
  <c r="S112" i="1" s="1"/>
  <c r="J110" i="1"/>
  <c r="S125" i="1"/>
  <c r="J125" i="1"/>
  <c r="S123" i="1"/>
  <c r="J123" i="1"/>
  <c r="S7" i="2" l="1"/>
  <c r="S114" i="1"/>
  <c r="S5" i="2"/>
  <c r="S113" i="1"/>
  <c r="T4" i="2"/>
  <c r="T7" i="2" l="1"/>
  <c r="S115" i="1"/>
  <c r="F6" i="2"/>
  <c r="F7" i="2" s="1"/>
  <c r="I6" i="2" l="1"/>
  <c r="I7" i="2" s="1"/>
  <c r="F4" i="2"/>
  <c r="G100" i="1"/>
  <c r="I114" i="1" s="1"/>
  <c r="I115" i="1" s="1"/>
  <c r="J114" i="1" l="1"/>
  <c r="F5" i="2"/>
  <c r="I4" i="2"/>
  <c r="I5" i="2" l="1"/>
  <c r="J113" i="1"/>
  <c r="J4" i="2"/>
  <c r="J115" i="1" l="1"/>
  <c r="J7" i="2"/>
</calcChain>
</file>

<file path=xl/sharedStrings.xml><?xml version="1.0" encoding="utf-8"?>
<sst xmlns="http://schemas.openxmlformats.org/spreadsheetml/2006/main" count="150" uniqueCount="62">
  <si>
    <t>第一次實驗</t>
  </si>
  <si>
    <t>第二次實驗</t>
  </si>
  <si>
    <t>A：實驗數據</t>
  </si>
  <si>
    <t>光具座與固定架
距離L (mm)</t>
  </si>
  <si>
    <t>單狹縫寬度a (mm)</t>
  </si>
  <si>
    <t>雙狹縫相距d (mm)</t>
  </si>
  <si>
    <r>
      <rPr>
        <sz val="12"/>
        <color theme="1"/>
        <rFont val="DFKai-SB"/>
        <family val="4"/>
        <charset val="136"/>
      </rPr>
      <t>雷射二極體組
波長</t>
    </r>
    <r>
      <rPr>
        <sz val="12"/>
        <color theme="1"/>
        <rFont val="Calibri"/>
      </rPr>
      <t>λ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</si>
  <si>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雷射二極體組
波長</t>
    </r>
    <r>
      <rPr>
        <sz val="12"/>
        <color theme="1"/>
        <rFont val="Calibri"/>
      </rPr>
      <t>λ</t>
    </r>
    <r>
      <rPr>
        <sz val="12"/>
        <color theme="1"/>
        <rFont val="標楷體"/>
        <family val="4"/>
        <charset val="136"/>
      </rPr>
      <t xml:space="preserve"> (mm)</t>
    </r>
  </si>
  <si>
    <t>位置(mm)</t>
  </si>
  <si>
    <r>
      <rPr>
        <b/>
        <sz val="12"/>
        <color theme="1"/>
        <rFont val="DFKai-SB"/>
        <family val="4"/>
        <charset val="136"/>
      </rPr>
      <t>B：尋找X</t>
    </r>
    <r>
      <rPr>
        <b/>
        <sz val="12"/>
        <color theme="1"/>
        <rFont val="Arial"/>
      </rPr>
      <t>1、Xr</t>
    </r>
  </si>
  <si>
    <r>
      <rPr>
        <b/>
        <sz val="12"/>
        <color theme="1"/>
        <rFont val="DFKai-SB"/>
        <family val="4"/>
        <charset val="136"/>
      </rPr>
      <t>B：尋找X</t>
    </r>
    <r>
      <rPr>
        <b/>
        <vertAlign val="subscript"/>
        <sz val="12"/>
        <color theme="1"/>
        <rFont val="標楷體"/>
        <family val="4"/>
        <charset val="136"/>
      </rPr>
      <t>1</t>
    </r>
    <r>
      <rPr>
        <b/>
        <sz val="12"/>
        <color theme="1"/>
        <rFont val="標楷體"/>
        <family val="4"/>
        <charset val="136"/>
      </rPr>
      <t>、X</t>
    </r>
    <r>
      <rPr>
        <b/>
        <vertAlign val="subscript"/>
        <sz val="12"/>
        <color theme="1"/>
        <rFont val="標楷體"/>
        <family val="4"/>
        <charset val="136"/>
      </rPr>
      <t>r</t>
    </r>
  </si>
  <si>
    <t>第一亮紋</t>
  </si>
  <si>
    <t>第二亮紋</t>
  </si>
  <si>
    <t>第三亮紋</t>
  </si>
  <si>
    <t>第四亮紋</t>
  </si>
  <si>
    <t>第五亮紋</t>
  </si>
  <si>
    <t>第一暗紋</t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</si>
  <si>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</si>
  <si>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</si>
  <si>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  <r>
      <rPr>
        <sz val="12"/>
        <color theme="1"/>
        <rFont val="標楷體"/>
        <family val="4"/>
        <charset val="136"/>
      </rPr>
      <t xml:space="preserve"> (mm)</t>
    </r>
  </si>
  <si>
    <t>Θ</t>
  </si>
  <si>
    <r>
      <rPr>
        <b/>
        <sz val="12"/>
        <color theme="1"/>
        <rFont val="DFKai-SB"/>
        <family val="4"/>
        <charset val="136"/>
      </rPr>
      <t>B：尋找X</t>
    </r>
    <r>
      <rPr>
        <b/>
        <vertAlign val="subscript"/>
        <sz val="12"/>
        <color theme="1"/>
        <rFont val="標楷體"/>
        <family val="4"/>
        <charset val="136"/>
      </rPr>
      <t>1</t>
    </r>
    <r>
      <rPr>
        <b/>
        <sz val="12"/>
        <color theme="1"/>
        <rFont val="標楷體"/>
        <family val="4"/>
        <charset val="136"/>
      </rPr>
      <t>、X</t>
    </r>
    <r>
      <rPr>
        <b/>
        <vertAlign val="subscript"/>
        <sz val="12"/>
        <color theme="1"/>
        <rFont val="標楷體"/>
        <family val="4"/>
        <charset val="136"/>
      </rPr>
      <t>r</t>
    </r>
    <r>
      <rPr>
        <b/>
        <sz val="12"/>
        <color theme="1"/>
        <rFont val="標楷體"/>
        <family val="4"/>
        <charset val="136"/>
      </rPr>
      <t>(理論值)</t>
    </r>
  </si>
  <si>
    <r>
      <rPr>
        <b/>
        <sz val="12"/>
        <color theme="1"/>
        <rFont val="DFKai-SB"/>
        <family val="4"/>
        <charset val="136"/>
      </rPr>
      <t>B：尋找X</t>
    </r>
    <r>
      <rPr>
        <b/>
        <vertAlign val="subscript"/>
        <sz val="12"/>
        <color theme="1"/>
        <rFont val="標楷體"/>
        <family val="4"/>
        <charset val="136"/>
      </rPr>
      <t>1</t>
    </r>
    <r>
      <rPr>
        <b/>
        <sz val="12"/>
        <color theme="1"/>
        <rFont val="標楷體"/>
        <family val="4"/>
        <charset val="136"/>
      </rPr>
      <t>、X</t>
    </r>
    <r>
      <rPr>
        <b/>
        <vertAlign val="subscript"/>
        <sz val="12"/>
        <color theme="1"/>
        <rFont val="標楷體"/>
        <family val="4"/>
        <charset val="136"/>
      </rPr>
      <t>r</t>
    </r>
    <r>
      <rPr>
        <b/>
        <sz val="12"/>
        <color theme="1"/>
        <rFont val="標楷體"/>
        <family val="4"/>
        <charset val="136"/>
      </rPr>
      <t>(理論值)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</si>
  <si>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</si>
  <si>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</si>
  <si>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  <r>
      <rPr>
        <sz val="12"/>
        <color theme="1"/>
        <rFont val="標楷體"/>
        <family val="4"/>
        <charset val="136"/>
      </rPr>
      <t xml:space="preserve"> (mm)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</si>
  <si>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  <r>
      <rPr>
        <sz val="12"/>
        <color theme="1"/>
        <rFont val="標楷體"/>
        <family val="4"/>
        <charset val="136"/>
      </rPr>
      <t xml:space="preserve"> (mm)</t>
    </r>
  </si>
  <si>
    <t>C：計算出單狹縫寬度a及雙狹縫距離d之值</t>
  </si>
  <si>
    <t>理論值</t>
  </si>
  <si>
    <t>實驗值</t>
  </si>
  <si>
    <t>百分誤差 (%)</t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</si>
  <si>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</si>
  <si>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</si>
  <si>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</si>
  <si>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</si>
  <si>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t>平均</t>
  </si>
  <si>
    <t>雙狹縫距離d (mm)</t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</si>
  <si>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</si>
  <si>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</si>
  <si>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</si>
  <si>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</si>
  <si>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t>D：計算亮紋強度的比例</t>
  </si>
  <si>
    <t>中央亮線</t>
  </si>
  <si>
    <t>第一亮線(左)</t>
  </si>
  <si>
    <t>亮度值
(mV)</t>
  </si>
  <si>
    <t>誤差(%)</t>
  </si>
  <si>
    <t>第一亮紋極大之強度與
中央亮紋強度的比例</t>
  </si>
  <si>
    <t>第二亮紋極大之強度與
中央亮紋強度的比例</t>
  </si>
  <si>
    <t>第一亮線</t>
  </si>
  <si>
    <t>第二亮線</t>
  </si>
  <si>
    <t>平均值</t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</si>
  <si>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</si>
  <si>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l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</si>
  <si>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</si>
  <si>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r>
      <rPr>
        <sz val="12"/>
        <color theme="1"/>
        <rFont val="DFKai-SB"/>
        <family val="4"/>
        <charset val="136"/>
      </rPr>
      <t>X</t>
    </r>
    <r>
      <rPr>
        <vertAlign val="subscript"/>
        <sz val="12"/>
        <color theme="1"/>
        <rFont val="標楷體"/>
        <family val="4"/>
        <charset val="136"/>
      </rPr>
      <t>r</t>
    </r>
  </si>
  <si>
    <t>第一亮線(右)</t>
    <phoneticPr fontId="10" type="noConversion"/>
  </si>
  <si>
    <t>第二亮線(左)</t>
    <phoneticPr fontId="10" type="noConversion"/>
  </si>
  <si>
    <t>第二亮線(右)</t>
    <phoneticPr fontId="10" type="noConversion"/>
  </si>
  <si>
    <t>第一亮線(左)</t>
    <phoneticPr fontId="10" type="noConversion"/>
  </si>
  <si>
    <t>照度</t>
    <phoneticPr fontId="10" type="noConversion"/>
  </si>
  <si>
    <r>
      <t>X</t>
    </r>
    <r>
      <rPr>
        <vertAlign val="subscript"/>
        <sz val="12"/>
        <color theme="1"/>
        <rFont val="標楷體"/>
        <family val="4"/>
        <charset val="136"/>
      </rPr>
      <t>l</t>
    </r>
    <r>
      <rPr>
        <sz val="12"/>
        <color theme="1"/>
        <rFont val="標楷體"/>
        <family val="4"/>
        <charset val="136"/>
      </rPr>
      <t xml:space="preserve"> (mm)</t>
    </r>
    <phoneticPr fontId="10" type="noConversion"/>
  </si>
  <si>
    <t>位置(mm)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</si>
</sst>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_ "/>
    <numFmt numFmtId="178" formatCode="0.0000"/>
    <numFmt numFmtId="179" formatCode="0.000"/>
    <numFmt numFmtId="180" formatCode="0.00_ "/>
  </numFmts>
  <fonts count="12">
    <font>
      <sz val="12"/>
      <color theme="1"/>
      <name val="Aptos Narrow"/>
      <scheme val="minor"/>
    </font>
    <font>
      <sz val="12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2"/>
      <name val="Aptos Narrow"/>
    </font>
    <font>
      <sz val="12"/>
      <color theme="1"/>
      <name val="Calibri"/>
    </font>
    <font>
      <sz val="12"/>
      <color theme="1"/>
      <name val="標楷體"/>
      <family val="4"/>
      <charset val="136"/>
    </font>
    <font>
      <b/>
      <sz val="12"/>
      <color theme="1"/>
      <name val="Arial"/>
    </font>
    <font>
      <b/>
      <vertAlign val="subscript"/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9"/>
      <name val="Aptos Narrow"/>
      <family val="3"/>
      <charset val="136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6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indexed="64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rgb="FF000000"/>
      </right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ck">
        <color indexed="64"/>
      </diagonal>
    </border>
  </borders>
  <cellStyleXfs count="1">
    <xf numFmtId="0" fontId="0" fillId="0" borderId="0"/>
  </cellStyleXfs>
  <cellXfs count="1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2" borderId="17" xfId="0" applyNumberFormat="1" applyFont="1" applyFill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6" fontId="1" fillId="2" borderId="18" xfId="0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2" borderId="21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77" fontId="1" fillId="0" borderId="16" xfId="0" applyNumberFormat="1" applyFont="1" applyBorder="1" applyAlignment="1">
      <alignment horizontal="center" vertical="center"/>
    </xf>
    <xf numFmtId="177" fontId="4" fillId="0" borderId="25" xfId="0" applyNumberFormat="1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79" fontId="1" fillId="0" borderId="37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79" fontId="1" fillId="0" borderId="42" xfId="0" applyNumberFormat="1" applyFont="1" applyBorder="1" applyAlignment="1">
      <alignment horizontal="center" vertical="center"/>
    </xf>
    <xf numFmtId="179" fontId="1" fillId="0" borderId="17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9" fontId="1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177" fontId="5" fillId="0" borderId="16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1" fillId="2" borderId="68" xfId="0" applyNumberFormat="1" applyFont="1" applyFill="1" applyBorder="1" applyAlignment="1">
      <alignment horizontal="center" vertical="center"/>
    </xf>
    <xf numFmtId="180" fontId="1" fillId="0" borderId="35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80" fontId="1" fillId="0" borderId="3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180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80" fontId="1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77" fontId="1" fillId="0" borderId="40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" fillId="0" borderId="49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177" fontId="1" fillId="0" borderId="50" xfId="0" applyNumberFormat="1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/>
    </xf>
    <xf numFmtId="176" fontId="1" fillId="2" borderId="37" xfId="0" applyNumberFormat="1" applyFont="1" applyFill="1" applyBorder="1" applyAlignment="1">
      <alignment horizontal="center" vertical="center"/>
    </xf>
    <xf numFmtId="176" fontId="1" fillId="2" borderId="51" xfId="0" applyNumberFormat="1" applyFont="1" applyFill="1" applyBorder="1" applyAlignment="1">
      <alignment horizontal="center" vertical="center"/>
    </xf>
    <xf numFmtId="0" fontId="3" fillId="0" borderId="53" xfId="0" applyFont="1" applyBorder="1" applyAlignment="1">
      <alignment vertical="center"/>
    </xf>
    <xf numFmtId="177" fontId="1" fillId="0" borderId="47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3" fillId="0" borderId="6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62" xfId="0" applyFont="1" applyBorder="1" applyAlignment="1">
      <alignment horizontal="center" vertical="center"/>
    </xf>
    <xf numFmtId="177" fontId="1" fillId="0" borderId="5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178" fontId="1" fillId="0" borderId="37" xfId="0" applyNumberFormat="1" applyFont="1" applyBorder="1" applyAlignment="1">
      <alignment horizontal="center" vertical="center"/>
    </xf>
    <xf numFmtId="2" fontId="1" fillId="0" borderId="51" xfId="0" applyNumberFormat="1" applyFont="1" applyBorder="1" applyAlignment="1">
      <alignment horizontal="center" vertical="center"/>
    </xf>
    <xf numFmtId="177" fontId="1" fillId="0" borderId="54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177" fontId="1" fillId="0" borderId="32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177" fontId="1" fillId="0" borderId="57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3" fillId="0" borderId="6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第一次實驗</a:t>
            </a:r>
          </a:p>
        </c:rich>
      </c:tx>
      <c:layout>
        <c:manualLayout>
          <c:xMode val="edge"/>
          <c:yMode val="edge"/>
          <c:x val="0.45657632369806406"/>
          <c:y val="3.6214346156396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實驗數據!$H$7</c:f>
              <c:strCache>
                <c:ptCount val="1"/>
                <c:pt idx="0">
                  <c:v>照度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(實驗數據!$G$8:$G$57,實驗數據!$I$8:$I$57,實驗數據!$K$8:$K$57,實驗數據!$M$8:$M$58)</c:f>
              <c:numCache>
                <c:formatCode>0.0</c:formatCode>
                <c:ptCount val="201"/>
                <c:pt idx="0">
                  <c:v>-20</c:v>
                </c:pt>
                <c:pt idx="1">
                  <c:v>-19.8</c:v>
                </c:pt>
                <c:pt idx="2">
                  <c:v>-19.600000000000001</c:v>
                </c:pt>
                <c:pt idx="3">
                  <c:v>-19.400000000000002</c:v>
                </c:pt>
                <c:pt idx="4">
                  <c:v>-19.200000000000003</c:v>
                </c:pt>
                <c:pt idx="5">
                  <c:v>-19.000000000000004</c:v>
                </c:pt>
                <c:pt idx="6">
                  <c:v>-18.800000000000004</c:v>
                </c:pt>
                <c:pt idx="7">
                  <c:v>-18.600000000000005</c:v>
                </c:pt>
                <c:pt idx="8">
                  <c:v>-18.400000000000006</c:v>
                </c:pt>
                <c:pt idx="9">
                  <c:v>-18.200000000000006</c:v>
                </c:pt>
                <c:pt idx="10">
                  <c:v>-18.000000000000007</c:v>
                </c:pt>
                <c:pt idx="11">
                  <c:v>-17.800000000000008</c:v>
                </c:pt>
                <c:pt idx="12">
                  <c:v>-17.600000000000009</c:v>
                </c:pt>
                <c:pt idx="13">
                  <c:v>-17.400000000000009</c:v>
                </c:pt>
                <c:pt idx="14">
                  <c:v>-17.20000000000001</c:v>
                </c:pt>
                <c:pt idx="15">
                  <c:v>-17.000000000000011</c:v>
                </c:pt>
                <c:pt idx="16">
                  <c:v>-16.800000000000011</c:v>
                </c:pt>
                <c:pt idx="17">
                  <c:v>-16.600000000000012</c:v>
                </c:pt>
                <c:pt idx="18">
                  <c:v>-16.400000000000013</c:v>
                </c:pt>
                <c:pt idx="19">
                  <c:v>-16.200000000000014</c:v>
                </c:pt>
                <c:pt idx="20">
                  <c:v>-16.000000000000014</c:v>
                </c:pt>
                <c:pt idx="21">
                  <c:v>-15.800000000000015</c:v>
                </c:pt>
                <c:pt idx="22">
                  <c:v>-15.600000000000016</c:v>
                </c:pt>
                <c:pt idx="23">
                  <c:v>-15.400000000000016</c:v>
                </c:pt>
                <c:pt idx="24">
                  <c:v>-15.200000000000017</c:v>
                </c:pt>
                <c:pt idx="25">
                  <c:v>-15.000000000000018</c:v>
                </c:pt>
                <c:pt idx="26">
                  <c:v>-14.800000000000018</c:v>
                </c:pt>
                <c:pt idx="27">
                  <c:v>-14.600000000000019</c:v>
                </c:pt>
                <c:pt idx="28">
                  <c:v>-14.40000000000002</c:v>
                </c:pt>
                <c:pt idx="29">
                  <c:v>-14.200000000000021</c:v>
                </c:pt>
                <c:pt idx="30">
                  <c:v>-14.000000000000021</c:v>
                </c:pt>
                <c:pt idx="31">
                  <c:v>-13.800000000000022</c:v>
                </c:pt>
                <c:pt idx="32">
                  <c:v>-13.600000000000023</c:v>
                </c:pt>
                <c:pt idx="33">
                  <c:v>-13.400000000000023</c:v>
                </c:pt>
                <c:pt idx="34">
                  <c:v>-13.200000000000024</c:v>
                </c:pt>
                <c:pt idx="35">
                  <c:v>-13.000000000000025</c:v>
                </c:pt>
                <c:pt idx="36">
                  <c:v>-12.800000000000026</c:v>
                </c:pt>
                <c:pt idx="37">
                  <c:v>-12.600000000000026</c:v>
                </c:pt>
                <c:pt idx="38">
                  <c:v>-12.400000000000027</c:v>
                </c:pt>
                <c:pt idx="39">
                  <c:v>-12.200000000000028</c:v>
                </c:pt>
                <c:pt idx="40">
                  <c:v>-12.000000000000028</c:v>
                </c:pt>
                <c:pt idx="41">
                  <c:v>-11.800000000000029</c:v>
                </c:pt>
                <c:pt idx="42">
                  <c:v>-11.60000000000003</c:v>
                </c:pt>
                <c:pt idx="43">
                  <c:v>-11.400000000000031</c:v>
                </c:pt>
                <c:pt idx="44">
                  <c:v>-11.200000000000031</c:v>
                </c:pt>
                <c:pt idx="45">
                  <c:v>-11.000000000000032</c:v>
                </c:pt>
                <c:pt idx="46">
                  <c:v>-10.800000000000033</c:v>
                </c:pt>
                <c:pt idx="47">
                  <c:v>-10.600000000000033</c:v>
                </c:pt>
                <c:pt idx="48">
                  <c:v>-10.400000000000034</c:v>
                </c:pt>
                <c:pt idx="49">
                  <c:v>-10.200000000000035</c:v>
                </c:pt>
                <c:pt idx="50">
                  <c:v>-10</c:v>
                </c:pt>
                <c:pt idx="51">
                  <c:v>-9.8000000000000007</c:v>
                </c:pt>
                <c:pt idx="52">
                  <c:v>-9.6000000000000014</c:v>
                </c:pt>
                <c:pt idx="53">
                  <c:v>-9.4000000000000021</c:v>
                </c:pt>
                <c:pt idx="54">
                  <c:v>-9.2000000000000028</c:v>
                </c:pt>
                <c:pt idx="55">
                  <c:v>-9.0000000000000036</c:v>
                </c:pt>
                <c:pt idx="56">
                  <c:v>-8.8000000000000043</c:v>
                </c:pt>
                <c:pt idx="57">
                  <c:v>-8.600000000000005</c:v>
                </c:pt>
                <c:pt idx="58">
                  <c:v>-8.4000000000000057</c:v>
                </c:pt>
                <c:pt idx="59">
                  <c:v>-8.2000000000000064</c:v>
                </c:pt>
                <c:pt idx="60">
                  <c:v>-8.0000000000000071</c:v>
                </c:pt>
                <c:pt idx="61">
                  <c:v>-7.8000000000000069</c:v>
                </c:pt>
                <c:pt idx="62">
                  <c:v>-7.6000000000000068</c:v>
                </c:pt>
                <c:pt idx="63">
                  <c:v>-7.4000000000000066</c:v>
                </c:pt>
                <c:pt idx="64">
                  <c:v>-7.2000000000000064</c:v>
                </c:pt>
                <c:pt idx="65">
                  <c:v>-7.0000000000000062</c:v>
                </c:pt>
                <c:pt idx="66">
                  <c:v>-6.800000000000006</c:v>
                </c:pt>
                <c:pt idx="67">
                  <c:v>-6.6000000000000059</c:v>
                </c:pt>
                <c:pt idx="68">
                  <c:v>-6.4000000000000057</c:v>
                </c:pt>
                <c:pt idx="69">
                  <c:v>-6.2000000000000055</c:v>
                </c:pt>
                <c:pt idx="70">
                  <c:v>-6.0000000000000053</c:v>
                </c:pt>
                <c:pt idx="71">
                  <c:v>-5.8000000000000052</c:v>
                </c:pt>
                <c:pt idx="72">
                  <c:v>-5.600000000000005</c:v>
                </c:pt>
                <c:pt idx="73">
                  <c:v>-5.4000000000000048</c:v>
                </c:pt>
                <c:pt idx="74">
                  <c:v>-5.2000000000000046</c:v>
                </c:pt>
                <c:pt idx="75">
                  <c:v>-5.0000000000000044</c:v>
                </c:pt>
                <c:pt idx="76">
                  <c:v>-4.8000000000000043</c:v>
                </c:pt>
                <c:pt idx="77">
                  <c:v>-4.6000000000000041</c:v>
                </c:pt>
                <c:pt idx="78">
                  <c:v>-4.4000000000000039</c:v>
                </c:pt>
                <c:pt idx="79">
                  <c:v>-4.2000000000000037</c:v>
                </c:pt>
                <c:pt idx="80">
                  <c:v>-4.0000000000000036</c:v>
                </c:pt>
                <c:pt idx="81">
                  <c:v>-3.8000000000000034</c:v>
                </c:pt>
                <c:pt idx="82">
                  <c:v>-3.6000000000000032</c:v>
                </c:pt>
                <c:pt idx="83">
                  <c:v>-3.400000000000003</c:v>
                </c:pt>
                <c:pt idx="84">
                  <c:v>-3.2000000000000028</c:v>
                </c:pt>
                <c:pt idx="85">
                  <c:v>-3.0000000000000027</c:v>
                </c:pt>
                <c:pt idx="86">
                  <c:v>-2.8000000000000025</c:v>
                </c:pt>
                <c:pt idx="87">
                  <c:v>-2.6000000000000023</c:v>
                </c:pt>
                <c:pt idx="88">
                  <c:v>-2.4000000000000021</c:v>
                </c:pt>
                <c:pt idx="89">
                  <c:v>-2.200000000000002</c:v>
                </c:pt>
                <c:pt idx="90">
                  <c:v>-2.0000000000000018</c:v>
                </c:pt>
                <c:pt idx="91">
                  <c:v>-1.8000000000000018</c:v>
                </c:pt>
                <c:pt idx="92">
                  <c:v>-1.6000000000000019</c:v>
                </c:pt>
                <c:pt idx="93">
                  <c:v>-1.4000000000000019</c:v>
                </c:pt>
                <c:pt idx="94">
                  <c:v>-1.200000000000002</c:v>
                </c:pt>
                <c:pt idx="95">
                  <c:v>-1.000000000000002</c:v>
                </c:pt>
                <c:pt idx="96">
                  <c:v>-0.80000000000000204</c:v>
                </c:pt>
                <c:pt idx="97">
                  <c:v>-0.60000000000000209</c:v>
                </c:pt>
                <c:pt idx="98">
                  <c:v>-0.40000000000000208</c:v>
                </c:pt>
                <c:pt idx="99">
                  <c:v>-0.20000000000000207</c:v>
                </c:pt>
                <c:pt idx="100">
                  <c:v>0</c:v>
                </c:pt>
                <c:pt idx="101">
                  <c:v>0.2</c:v>
                </c:pt>
                <c:pt idx="102">
                  <c:v>0.4</c:v>
                </c:pt>
                <c:pt idx="103">
                  <c:v>0.60000000000000009</c:v>
                </c:pt>
                <c:pt idx="104">
                  <c:v>0.8</c:v>
                </c:pt>
                <c:pt idx="105">
                  <c:v>1</c:v>
                </c:pt>
                <c:pt idx="106">
                  <c:v>1.2</c:v>
                </c:pt>
                <c:pt idx="107">
                  <c:v>1.4</c:v>
                </c:pt>
                <c:pt idx="108">
                  <c:v>1.5999999999999999</c:v>
                </c:pt>
                <c:pt idx="109">
                  <c:v>1.7999999999999998</c:v>
                </c:pt>
                <c:pt idx="110">
                  <c:v>1.9999999999999998</c:v>
                </c:pt>
                <c:pt idx="111">
                  <c:v>2.1999999999999997</c:v>
                </c:pt>
                <c:pt idx="112">
                  <c:v>2.4</c:v>
                </c:pt>
                <c:pt idx="113">
                  <c:v>2.6</c:v>
                </c:pt>
                <c:pt idx="114">
                  <c:v>2.8000000000000003</c:v>
                </c:pt>
                <c:pt idx="115">
                  <c:v>3.0000000000000004</c:v>
                </c:pt>
                <c:pt idx="116">
                  <c:v>3.2000000000000006</c:v>
                </c:pt>
                <c:pt idx="117">
                  <c:v>3.4000000000000008</c:v>
                </c:pt>
                <c:pt idx="118">
                  <c:v>3.600000000000001</c:v>
                </c:pt>
                <c:pt idx="119">
                  <c:v>3.8000000000000012</c:v>
                </c:pt>
                <c:pt idx="120">
                  <c:v>4.0000000000000009</c:v>
                </c:pt>
                <c:pt idx="121">
                  <c:v>4.2000000000000011</c:v>
                </c:pt>
                <c:pt idx="122">
                  <c:v>4.4000000000000012</c:v>
                </c:pt>
                <c:pt idx="123">
                  <c:v>4.6000000000000014</c:v>
                </c:pt>
                <c:pt idx="124">
                  <c:v>4.8000000000000016</c:v>
                </c:pt>
                <c:pt idx="125">
                  <c:v>5.0000000000000018</c:v>
                </c:pt>
                <c:pt idx="126">
                  <c:v>5.200000000000002</c:v>
                </c:pt>
                <c:pt idx="127">
                  <c:v>5.4000000000000021</c:v>
                </c:pt>
                <c:pt idx="128">
                  <c:v>5.6000000000000023</c:v>
                </c:pt>
                <c:pt idx="129">
                  <c:v>5.8000000000000025</c:v>
                </c:pt>
                <c:pt idx="130">
                  <c:v>6.0000000000000027</c:v>
                </c:pt>
                <c:pt idx="131">
                  <c:v>6.2000000000000028</c:v>
                </c:pt>
                <c:pt idx="132">
                  <c:v>6.400000000000003</c:v>
                </c:pt>
                <c:pt idx="133">
                  <c:v>6.6000000000000032</c:v>
                </c:pt>
                <c:pt idx="134">
                  <c:v>6.8000000000000034</c:v>
                </c:pt>
                <c:pt idx="135">
                  <c:v>7.0000000000000036</c:v>
                </c:pt>
                <c:pt idx="136">
                  <c:v>7.2000000000000037</c:v>
                </c:pt>
                <c:pt idx="137">
                  <c:v>7.4000000000000039</c:v>
                </c:pt>
                <c:pt idx="138">
                  <c:v>7.6000000000000041</c:v>
                </c:pt>
                <c:pt idx="139">
                  <c:v>7.8000000000000043</c:v>
                </c:pt>
                <c:pt idx="140">
                  <c:v>8.0000000000000036</c:v>
                </c:pt>
                <c:pt idx="141">
                  <c:v>8.2000000000000028</c:v>
                </c:pt>
                <c:pt idx="142">
                  <c:v>8.4000000000000021</c:v>
                </c:pt>
                <c:pt idx="143">
                  <c:v>8.6000000000000014</c:v>
                </c:pt>
                <c:pt idx="144">
                  <c:v>8.8000000000000007</c:v>
                </c:pt>
                <c:pt idx="145">
                  <c:v>9</c:v>
                </c:pt>
                <c:pt idx="146">
                  <c:v>9.1999999999999993</c:v>
                </c:pt>
                <c:pt idx="147">
                  <c:v>9.3999999999999986</c:v>
                </c:pt>
                <c:pt idx="148">
                  <c:v>9.5999999999999979</c:v>
                </c:pt>
                <c:pt idx="149">
                  <c:v>9.7999999999999972</c:v>
                </c:pt>
                <c:pt idx="150" formatCode="General">
                  <c:v>10</c:v>
                </c:pt>
                <c:pt idx="151">
                  <c:v>10.199999999999999</c:v>
                </c:pt>
                <c:pt idx="152">
                  <c:v>10.399999999999999</c:v>
                </c:pt>
                <c:pt idx="153">
                  <c:v>10.599999999999998</c:v>
                </c:pt>
                <c:pt idx="154">
                  <c:v>10.799999999999997</c:v>
                </c:pt>
                <c:pt idx="155">
                  <c:v>10.999999999999996</c:v>
                </c:pt>
                <c:pt idx="156">
                  <c:v>11.199999999999996</c:v>
                </c:pt>
                <c:pt idx="157">
                  <c:v>11.399999999999995</c:v>
                </c:pt>
                <c:pt idx="158">
                  <c:v>11.599999999999994</c:v>
                </c:pt>
                <c:pt idx="159">
                  <c:v>11.799999999999994</c:v>
                </c:pt>
                <c:pt idx="160">
                  <c:v>11.999999999999993</c:v>
                </c:pt>
                <c:pt idx="161">
                  <c:v>12.199999999999992</c:v>
                </c:pt>
                <c:pt idx="162">
                  <c:v>12.399999999999991</c:v>
                </c:pt>
                <c:pt idx="163">
                  <c:v>12.599999999999991</c:v>
                </c:pt>
                <c:pt idx="164">
                  <c:v>12.79999999999999</c:v>
                </c:pt>
                <c:pt idx="165">
                  <c:v>12.999999999999989</c:v>
                </c:pt>
                <c:pt idx="166">
                  <c:v>13.199999999999989</c:v>
                </c:pt>
                <c:pt idx="167">
                  <c:v>13.399999999999988</c:v>
                </c:pt>
                <c:pt idx="168">
                  <c:v>13.599999999999987</c:v>
                </c:pt>
                <c:pt idx="169">
                  <c:v>13.799999999999986</c:v>
                </c:pt>
                <c:pt idx="170">
                  <c:v>13.999999999999986</c:v>
                </c:pt>
                <c:pt idx="171">
                  <c:v>14.199999999999985</c:v>
                </c:pt>
                <c:pt idx="172">
                  <c:v>14.399999999999984</c:v>
                </c:pt>
                <c:pt idx="173">
                  <c:v>14.599999999999984</c:v>
                </c:pt>
                <c:pt idx="174">
                  <c:v>14.799999999999983</c:v>
                </c:pt>
                <c:pt idx="175">
                  <c:v>14.999999999999982</c:v>
                </c:pt>
                <c:pt idx="176">
                  <c:v>15.199999999999982</c:v>
                </c:pt>
                <c:pt idx="177">
                  <c:v>15.399999999999981</c:v>
                </c:pt>
                <c:pt idx="178">
                  <c:v>15.59999999999998</c:v>
                </c:pt>
                <c:pt idx="179">
                  <c:v>15.799999999999979</c:v>
                </c:pt>
                <c:pt idx="180">
                  <c:v>15.999999999999979</c:v>
                </c:pt>
                <c:pt idx="181">
                  <c:v>16.199999999999978</c:v>
                </c:pt>
                <c:pt idx="182">
                  <c:v>16.399999999999977</c:v>
                </c:pt>
                <c:pt idx="183">
                  <c:v>16.599999999999977</c:v>
                </c:pt>
                <c:pt idx="184">
                  <c:v>16.799999999999976</c:v>
                </c:pt>
                <c:pt idx="185">
                  <c:v>16.999999999999975</c:v>
                </c:pt>
                <c:pt idx="186">
                  <c:v>17.199999999999974</c:v>
                </c:pt>
                <c:pt idx="187">
                  <c:v>17.399999999999974</c:v>
                </c:pt>
                <c:pt idx="188">
                  <c:v>17.599999999999973</c:v>
                </c:pt>
                <c:pt idx="189">
                  <c:v>17.799999999999972</c:v>
                </c:pt>
                <c:pt idx="190">
                  <c:v>17.999999999999972</c:v>
                </c:pt>
                <c:pt idx="191">
                  <c:v>18.199999999999971</c:v>
                </c:pt>
                <c:pt idx="192">
                  <c:v>18.39999999999997</c:v>
                </c:pt>
                <c:pt idx="193">
                  <c:v>18.599999999999969</c:v>
                </c:pt>
                <c:pt idx="194">
                  <c:v>18.799999999999969</c:v>
                </c:pt>
                <c:pt idx="195">
                  <c:v>18.999999999999968</c:v>
                </c:pt>
                <c:pt idx="196">
                  <c:v>19.199999999999967</c:v>
                </c:pt>
                <c:pt idx="197">
                  <c:v>19.399999999999967</c:v>
                </c:pt>
                <c:pt idx="198">
                  <c:v>19.599999999999966</c:v>
                </c:pt>
                <c:pt idx="199">
                  <c:v>19.799999999999965</c:v>
                </c:pt>
                <c:pt idx="200">
                  <c:v>19.999999999999964</c:v>
                </c:pt>
              </c:numCache>
            </c:numRef>
          </c:cat>
          <c:val>
            <c:numRef>
              <c:f>(實驗數據!$H$8:$H$57,實驗數據!$J$8:$J$57,實驗數據!$L$8:$L$57,實驗數據!$N$8:$N$58)</c:f>
              <c:numCache>
                <c:formatCode>0.0</c:formatCode>
                <c:ptCount val="201"/>
                <c:pt idx="0">
                  <c:v>0.78800000000000003</c:v>
                </c:pt>
                <c:pt idx="1">
                  <c:v>0.72099999999999997</c:v>
                </c:pt>
                <c:pt idx="2">
                  <c:v>0.23200000000000001</c:v>
                </c:pt>
                <c:pt idx="3">
                  <c:v>0.11600000000000001</c:v>
                </c:pt>
                <c:pt idx="4">
                  <c:v>0.34200000000000003</c:v>
                </c:pt>
                <c:pt idx="5">
                  <c:v>0.58099999999999996</c:v>
                </c:pt>
                <c:pt idx="6">
                  <c:v>0.98299999999999998</c:v>
                </c:pt>
                <c:pt idx="7">
                  <c:v>0.96399999999999997</c:v>
                </c:pt>
                <c:pt idx="8">
                  <c:v>0.47699999999999998</c:v>
                </c:pt>
                <c:pt idx="9">
                  <c:v>0.25</c:v>
                </c:pt>
                <c:pt idx="10">
                  <c:v>0.26100000000000001</c:v>
                </c:pt>
                <c:pt idx="11">
                  <c:v>0.55500000000000005</c:v>
                </c:pt>
                <c:pt idx="12">
                  <c:v>0.81799999999999995</c:v>
                </c:pt>
                <c:pt idx="13">
                  <c:v>0.80100000000000005</c:v>
                </c:pt>
                <c:pt idx="14">
                  <c:v>0.54100000000000004</c:v>
                </c:pt>
                <c:pt idx="15">
                  <c:v>0.436</c:v>
                </c:pt>
                <c:pt idx="16">
                  <c:v>0.58499999999999996</c:v>
                </c:pt>
                <c:pt idx="17">
                  <c:v>0.89400000000000002</c:v>
                </c:pt>
                <c:pt idx="18">
                  <c:v>0.79400000000000004</c:v>
                </c:pt>
                <c:pt idx="19">
                  <c:v>0.38200000000000001</c:v>
                </c:pt>
                <c:pt idx="20">
                  <c:v>0.19500000000000001</c:v>
                </c:pt>
                <c:pt idx="21">
                  <c:v>0.39800000000000002</c:v>
                </c:pt>
                <c:pt idx="22">
                  <c:v>0.94499999999999995</c:v>
                </c:pt>
                <c:pt idx="23">
                  <c:v>1.292</c:v>
                </c:pt>
                <c:pt idx="24">
                  <c:v>1.115</c:v>
                </c:pt>
                <c:pt idx="25">
                  <c:v>0.71299999999999997</c:v>
                </c:pt>
                <c:pt idx="26">
                  <c:v>0.28100000000000003</c:v>
                </c:pt>
                <c:pt idx="27">
                  <c:v>0.28999999999999998</c:v>
                </c:pt>
                <c:pt idx="28">
                  <c:v>0.69299999999999995</c:v>
                </c:pt>
                <c:pt idx="29">
                  <c:v>0.995</c:v>
                </c:pt>
                <c:pt idx="30">
                  <c:v>0.96599999999999997</c:v>
                </c:pt>
                <c:pt idx="31">
                  <c:v>0.74299999999999999</c:v>
                </c:pt>
                <c:pt idx="32">
                  <c:v>0.71</c:v>
                </c:pt>
                <c:pt idx="33">
                  <c:v>0.77400000000000002</c:v>
                </c:pt>
                <c:pt idx="34">
                  <c:v>0.69799999999999995</c:v>
                </c:pt>
                <c:pt idx="35">
                  <c:v>0.44600000000000001</c:v>
                </c:pt>
                <c:pt idx="36">
                  <c:v>0.221</c:v>
                </c:pt>
                <c:pt idx="37">
                  <c:v>0.35299999999999998</c:v>
                </c:pt>
                <c:pt idx="38">
                  <c:v>0.73699999999999999</c:v>
                </c:pt>
                <c:pt idx="39">
                  <c:v>1.1439999999999999</c:v>
                </c:pt>
                <c:pt idx="40">
                  <c:v>1.1459999999999999</c:v>
                </c:pt>
                <c:pt idx="41">
                  <c:v>0.84799999999999998</c:v>
                </c:pt>
                <c:pt idx="42">
                  <c:v>0.57199999999999995</c:v>
                </c:pt>
                <c:pt idx="43">
                  <c:v>0.53900000000000003</c:v>
                </c:pt>
                <c:pt idx="44">
                  <c:v>0.66100000000000003</c:v>
                </c:pt>
                <c:pt idx="45">
                  <c:v>0.873</c:v>
                </c:pt>
                <c:pt idx="46">
                  <c:v>1.264</c:v>
                </c:pt>
                <c:pt idx="47">
                  <c:v>1.956</c:v>
                </c:pt>
                <c:pt idx="48">
                  <c:v>2.8079999999999998</c:v>
                </c:pt>
                <c:pt idx="49">
                  <c:v>2.9089999999999998</c:v>
                </c:pt>
                <c:pt idx="50">
                  <c:v>1.8320000000000001</c:v>
                </c:pt>
                <c:pt idx="51">
                  <c:v>0.66800000000000004</c:v>
                </c:pt>
                <c:pt idx="52">
                  <c:v>1.0589999999999999</c:v>
                </c:pt>
                <c:pt idx="53">
                  <c:v>3.1150000000000002</c:v>
                </c:pt>
                <c:pt idx="54">
                  <c:v>4.9029999999999996</c:v>
                </c:pt>
                <c:pt idx="55">
                  <c:v>5.0570000000000004</c:v>
                </c:pt>
                <c:pt idx="56">
                  <c:v>3.306</c:v>
                </c:pt>
                <c:pt idx="57">
                  <c:v>0.91500000000000004</c:v>
                </c:pt>
                <c:pt idx="58">
                  <c:v>0.63700000000000001</c:v>
                </c:pt>
                <c:pt idx="59">
                  <c:v>2.198</c:v>
                </c:pt>
                <c:pt idx="60">
                  <c:v>4.3529999999999998</c:v>
                </c:pt>
                <c:pt idx="61">
                  <c:v>4.9530000000000003</c:v>
                </c:pt>
                <c:pt idx="62">
                  <c:v>2.9649999999999999</c:v>
                </c:pt>
                <c:pt idx="63">
                  <c:v>0.80900000000000005</c:v>
                </c:pt>
                <c:pt idx="64">
                  <c:v>0.79200000000000004</c:v>
                </c:pt>
                <c:pt idx="65">
                  <c:v>2.0129999999999999</c:v>
                </c:pt>
                <c:pt idx="66">
                  <c:v>3.2879999999999998</c:v>
                </c:pt>
                <c:pt idx="67">
                  <c:v>2.9089999999999998</c:v>
                </c:pt>
                <c:pt idx="68">
                  <c:v>1.405</c:v>
                </c:pt>
                <c:pt idx="69">
                  <c:v>0.57599999999999996</c:v>
                </c:pt>
                <c:pt idx="70">
                  <c:v>0.38600000000000001</c:v>
                </c:pt>
                <c:pt idx="71">
                  <c:v>1.5409999999999999</c:v>
                </c:pt>
                <c:pt idx="72">
                  <c:v>3.2170000000000001</c:v>
                </c:pt>
                <c:pt idx="73">
                  <c:v>4.9649999999999999</c:v>
                </c:pt>
                <c:pt idx="74">
                  <c:v>5.6879999999999997</c:v>
                </c:pt>
                <c:pt idx="75">
                  <c:v>3.5059999999999998</c:v>
                </c:pt>
                <c:pt idx="76">
                  <c:v>1.1910000000000001</c:v>
                </c:pt>
                <c:pt idx="77">
                  <c:v>1.7330000000000001</c:v>
                </c:pt>
                <c:pt idx="78">
                  <c:v>8.8710000000000004</c:v>
                </c:pt>
                <c:pt idx="79">
                  <c:v>15.776</c:v>
                </c:pt>
                <c:pt idx="80">
                  <c:v>21.73</c:v>
                </c:pt>
                <c:pt idx="81">
                  <c:v>23.91</c:v>
                </c:pt>
                <c:pt idx="82">
                  <c:v>14.83</c:v>
                </c:pt>
                <c:pt idx="83">
                  <c:v>2.66</c:v>
                </c:pt>
                <c:pt idx="84">
                  <c:v>14.29</c:v>
                </c:pt>
                <c:pt idx="85">
                  <c:v>45.84</c:v>
                </c:pt>
                <c:pt idx="86">
                  <c:v>67.3</c:v>
                </c:pt>
                <c:pt idx="87">
                  <c:v>61.04</c:v>
                </c:pt>
                <c:pt idx="88">
                  <c:v>32.03</c:v>
                </c:pt>
                <c:pt idx="89">
                  <c:v>6.98</c:v>
                </c:pt>
                <c:pt idx="90">
                  <c:v>14.63</c:v>
                </c:pt>
                <c:pt idx="91">
                  <c:v>54.37</c:v>
                </c:pt>
                <c:pt idx="92">
                  <c:v>111.79</c:v>
                </c:pt>
                <c:pt idx="93">
                  <c:v>115.95</c:v>
                </c:pt>
                <c:pt idx="94">
                  <c:v>78.44</c:v>
                </c:pt>
                <c:pt idx="95">
                  <c:v>21.67</c:v>
                </c:pt>
                <c:pt idx="96">
                  <c:v>15.55</c:v>
                </c:pt>
                <c:pt idx="97">
                  <c:v>60.59</c:v>
                </c:pt>
                <c:pt idx="98">
                  <c:v>131.59</c:v>
                </c:pt>
                <c:pt idx="99">
                  <c:v>155.29</c:v>
                </c:pt>
                <c:pt idx="100">
                  <c:v>130.46</c:v>
                </c:pt>
                <c:pt idx="101">
                  <c:v>34.17</c:v>
                </c:pt>
                <c:pt idx="102">
                  <c:v>9.98</c:v>
                </c:pt>
                <c:pt idx="103">
                  <c:v>22.82</c:v>
                </c:pt>
                <c:pt idx="104">
                  <c:v>78.260000000000005</c:v>
                </c:pt>
                <c:pt idx="105">
                  <c:v>129.81</c:v>
                </c:pt>
                <c:pt idx="106">
                  <c:v>134.06</c:v>
                </c:pt>
                <c:pt idx="107">
                  <c:v>79.91</c:v>
                </c:pt>
                <c:pt idx="108">
                  <c:v>17.440000000000001</c:v>
                </c:pt>
                <c:pt idx="109">
                  <c:v>11.79</c:v>
                </c:pt>
                <c:pt idx="110">
                  <c:v>66.319999999999993</c:v>
                </c:pt>
                <c:pt idx="111">
                  <c:v>100.76</c:v>
                </c:pt>
                <c:pt idx="112">
                  <c:v>96.45</c:v>
                </c:pt>
                <c:pt idx="113">
                  <c:v>60.76</c:v>
                </c:pt>
                <c:pt idx="114">
                  <c:v>24.36</c:v>
                </c:pt>
                <c:pt idx="115">
                  <c:v>4.29</c:v>
                </c:pt>
                <c:pt idx="116">
                  <c:v>20.93</c:v>
                </c:pt>
                <c:pt idx="117">
                  <c:v>42.38</c:v>
                </c:pt>
                <c:pt idx="118">
                  <c:v>44.95</c:v>
                </c:pt>
                <c:pt idx="119">
                  <c:v>29.5</c:v>
                </c:pt>
                <c:pt idx="120">
                  <c:v>11.12</c:v>
                </c:pt>
                <c:pt idx="121">
                  <c:v>2.71</c:v>
                </c:pt>
                <c:pt idx="122">
                  <c:v>7.46</c:v>
                </c:pt>
                <c:pt idx="123">
                  <c:v>12.85</c:v>
                </c:pt>
                <c:pt idx="124">
                  <c:v>13.16</c:v>
                </c:pt>
                <c:pt idx="125">
                  <c:v>8.76</c:v>
                </c:pt>
                <c:pt idx="126">
                  <c:v>3.19</c:v>
                </c:pt>
                <c:pt idx="127">
                  <c:v>1.1499999999999999</c:v>
                </c:pt>
                <c:pt idx="128">
                  <c:v>2.99</c:v>
                </c:pt>
                <c:pt idx="129">
                  <c:v>5.31</c:v>
                </c:pt>
                <c:pt idx="130">
                  <c:v>5.7809999999999997</c:v>
                </c:pt>
                <c:pt idx="131">
                  <c:v>3.9910000000000001</c:v>
                </c:pt>
                <c:pt idx="132">
                  <c:v>2.198</c:v>
                </c:pt>
                <c:pt idx="133">
                  <c:v>0.91500000000000004</c:v>
                </c:pt>
                <c:pt idx="134">
                  <c:v>1.3049999999999999</c:v>
                </c:pt>
                <c:pt idx="135">
                  <c:v>3.3860000000000001</c:v>
                </c:pt>
                <c:pt idx="136">
                  <c:v>6.3470000000000004</c:v>
                </c:pt>
                <c:pt idx="137">
                  <c:v>8.048</c:v>
                </c:pt>
                <c:pt idx="138">
                  <c:v>7.0060000000000002</c:v>
                </c:pt>
                <c:pt idx="139">
                  <c:v>3.468</c:v>
                </c:pt>
                <c:pt idx="140">
                  <c:v>0.71099999999999997</c:v>
                </c:pt>
                <c:pt idx="141">
                  <c:v>3.758</c:v>
                </c:pt>
                <c:pt idx="142">
                  <c:v>6.2830000000000004</c:v>
                </c:pt>
                <c:pt idx="143">
                  <c:v>7.5579999999999998</c:v>
                </c:pt>
                <c:pt idx="144">
                  <c:v>6.0839999999999996</c:v>
                </c:pt>
                <c:pt idx="145">
                  <c:v>2.681</c:v>
                </c:pt>
                <c:pt idx="146">
                  <c:v>1.038</c:v>
                </c:pt>
                <c:pt idx="147">
                  <c:v>0.79100000000000004</c:v>
                </c:pt>
                <c:pt idx="148">
                  <c:v>2.242</c:v>
                </c:pt>
                <c:pt idx="149">
                  <c:v>3.6230000000000002</c:v>
                </c:pt>
                <c:pt idx="150">
                  <c:v>3.6320000000000001</c:v>
                </c:pt>
                <c:pt idx="151">
                  <c:v>2.4049999999999998</c:v>
                </c:pt>
                <c:pt idx="152">
                  <c:v>1.4450000000000001</c:v>
                </c:pt>
                <c:pt idx="153">
                  <c:v>1.35</c:v>
                </c:pt>
                <c:pt idx="154">
                  <c:v>1.5289999999999999</c:v>
                </c:pt>
                <c:pt idx="155">
                  <c:v>1.524</c:v>
                </c:pt>
                <c:pt idx="156">
                  <c:v>0.93500000000000005</c:v>
                </c:pt>
                <c:pt idx="157">
                  <c:v>0.66800000000000004</c:v>
                </c:pt>
                <c:pt idx="158">
                  <c:v>0.878</c:v>
                </c:pt>
                <c:pt idx="159">
                  <c:v>1.329</c:v>
                </c:pt>
                <c:pt idx="160">
                  <c:v>1.403</c:v>
                </c:pt>
                <c:pt idx="161">
                  <c:v>0.76</c:v>
                </c:pt>
                <c:pt idx="162">
                  <c:v>0.31130000000000002</c:v>
                </c:pt>
                <c:pt idx="163">
                  <c:v>0.37019999999999997</c:v>
                </c:pt>
                <c:pt idx="164">
                  <c:v>0.63400000000000001</c:v>
                </c:pt>
                <c:pt idx="165">
                  <c:v>0.87320000000000009</c:v>
                </c:pt>
                <c:pt idx="166">
                  <c:v>0.86609999999999998</c:v>
                </c:pt>
                <c:pt idx="167">
                  <c:v>0.75670000000000004</c:v>
                </c:pt>
                <c:pt idx="168">
                  <c:v>0.78979999999999995</c:v>
                </c:pt>
                <c:pt idx="169">
                  <c:v>0.88070000000000004</c:v>
                </c:pt>
                <c:pt idx="170">
                  <c:v>0.81020000000000003</c:v>
                </c:pt>
                <c:pt idx="171">
                  <c:v>0.4446</c:v>
                </c:pt>
                <c:pt idx="172">
                  <c:v>0.22359999999999999</c:v>
                </c:pt>
                <c:pt idx="173">
                  <c:v>0.3473</c:v>
                </c:pt>
                <c:pt idx="174">
                  <c:v>0.67070000000000007</c:v>
                </c:pt>
                <c:pt idx="175">
                  <c:v>0.98660000000000003</c:v>
                </c:pt>
                <c:pt idx="176">
                  <c:v>0.98580000000000001</c:v>
                </c:pt>
                <c:pt idx="177">
                  <c:v>0.63229999999999997</c:v>
                </c:pt>
                <c:pt idx="178">
                  <c:v>0.32680000000000003</c:v>
                </c:pt>
                <c:pt idx="179">
                  <c:v>0.2072</c:v>
                </c:pt>
                <c:pt idx="180">
                  <c:v>0.32050000000000001</c:v>
                </c:pt>
                <c:pt idx="181">
                  <c:v>0.51829999999999998</c:v>
                </c:pt>
                <c:pt idx="182">
                  <c:v>0.62539999999999996</c:v>
                </c:pt>
                <c:pt idx="183">
                  <c:v>0.72739999999999994</c:v>
                </c:pt>
                <c:pt idx="184">
                  <c:v>0.74860000000000004</c:v>
                </c:pt>
                <c:pt idx="185">
                  <c:v>0.53660000000000008</c:v>
                </c:pt>
                <c:pt idx="186">
                  <c:v>0.34689999999999999</c:v>
                </c:pt>
                <c:pt idx="187">
                  <c:v>0.2046</c:v>
                </c:pt>
                <c:pt idx="188">
                  <c:v>0.20369999999999999</c:v>
                </c:pt>
                <c:pt idx="189">
                  <c:v>0.44430000000000003</c:v>
                </c:pt>
                <c:pt idx="190">
                  <c:v>0.76579999999999993</c:v>
                </c:pt>
                <c:pt idx="191">
                  <c:v>0.87379999999999991</c:v>
                </c:pt>
                <c:pt idx="192">
                  <c:v>0.629</c:v>
                </c:pt>
                <c:pt idx="193">
                  <c:v>0.29339999999999999</c:v>
                </c:pt>
                <c:pt idx="194">
                  <c:v>8.3000000000000004E-2</c:v>
                </c:pt>
                <c:pt idx="195">
                  <c:v>0.17849999999999999</c:v>
                </c:pt>
                <c:pt idx="196">
                  <c:v>0.45939999999999998</c:v>
                </c:pt>
                <c:pt idx="197">
                  <c:v>0.5697000000000001</c:v>
                </c:pt>
                <c:pt idx="198">
                  <c:v>0.48360000000000003</c:v>
                </c:pt>
                <c:pt idx="199">
                  <c:v>0.24909999999999999</c:v>
                </c:pt>
                <c:pt idx="200">
                  <c:v>0.1144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54-46B8-B1F5-42C750572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7440"/>
        <c:axId val="1721170800"/>
      </c:lineChart>
      <c:catAx>
        <c:axId val="172116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位置</a:t>
                </a:r>
                <a:r>
                  <a:rPr lang="en-US" altLang="zh-TW"/>
                  <a:t>(mm)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170800"/>
        <c:crosses val="autoZero"/>
        <c:auto val="1"/>
        <c:lblAlgn val="ctr"/>
        <c:lblOffset val="100"/>
        <c:noMultiLvlLbl val="0"/>
      </c:catAx>
      <c:valAx>
        <c:axId val="17211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照度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1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第二次實驗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實驗數據!$Q$7</c:f>
              <c:strCache>
                <c:ptCount val="1"/>
                <c:pt idx="0">
                  <c:v>照度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(實驗數據!$P$8:$P$57,實驗數據!$R$8:$R$57,實驗數據!$T$8:$T$57,實驗數據!$V$8:$V$58)</c:f>
              <c:numCache>
                <c:formatCode>0.0</c:formatCode>
                <c:ptCount val="201"/>
                <c:pt idx="0">
                  <c:v>-20</c:v>
                </c:pt>
                <c:pt idx="1">
                  <c:v>-19.8</c:v>
                </c:pt>
                <c:pt idx="2">
                  <c:v>-19.600000000000001</c:v>
                </c:pt>
                <c:pt idx="3">
                  <c:v>-19.400000000000002</c:v>
                </c:pt>
                <c:pt idx="4">
                  <c:v>-19.200000000000003</c:v>
                </c:pt>
                <c:pt idx="5">
                  <c:v>-19.000000000000004</c:v>
                </c:pt>
                <c:pt idx="6">
                  <c:v>-18.800000000000004</c:v>
                </c:pt>
                <c:pt idx="7">
                  <c:v>-18.600000000000005</c:v>
                </c:pt>
                <c:pt idx="8">
                  <c:v>-18.400000000000006</c:v>
                </c:pt>
                <c:pt idx="9">
                  <c:v>-18.200000000000006</c:v>
                </c:pt>
                <c:pt idx="10">
                  <c:v>-18.000000000000007</c:v>
                </c:pt>
                <c:pt idx="11">
                  <c:v>-17.800000000000008</c:v>
                </c:pt>
                <c:pt idx="12">
                  <c:v>-17.600000000000009</c:v>
                </c:pt>
                <c:pt idx="13">
                  <c:v>-17.400000000000009</c:v>
                </c:pt>
                <c:pt idx="14">
                  <c:v>-17.20000000000001</c:v>
                </c:pt>
                <c:pt idx="15">
                  <c:v>-17.000000000000011</c:v>
                </c:pt>
                <c:pt idx="16">
                  <c:v>-16.800000000000011</c:v>
                </c:pt>
                <c:pt idx="17">
                  <c:v>-16.600000000000012</c:v>
                </c:pt>
                <c:pt idx="18">
                  <c:v>-16.400000000000013</c:v>
                </c:pt>
                <c:pt idx="19">
                  <c:v>-16.200000000000014</c:v>
                </c:pt>
                <c:pt idx="20">
                  <c:v>-16.000000000000014</c:v>
                </c:pt>
                <c:pt idx="21">
                  <c:v>-15.800000000000015</c:v>
                </c:pt>
                <c:pt idx="22">
                  <c:v>-15.600000000000016</c:v>
                </c:pt>
                <c:pt idx="23">
                  <c:v>-15.400000000000016</c:v>
                </c:pt>
                <c:pt idx="24">
                  <c:v>-15.200000000000017</c:v>
                </c:pt>
                <c:pt idx="25">
                  <c:v>-15.000000000000018</c:v>
                </c:pt>
                <c:pt idx="26">
                  <c:v>-14.800000000000018</c:v>
                </c:pt>
                <c:pt idx="27">
                  <c:v>-14.600000000000019</c:v>
                </c:pt>
                <c:pt idx="28">
                  <c:v>-14.40000000000002</c:v>
                </c:pt>
                <c:pt idx="29">
                  <c:v>-14.200000000000021</c:v>
                </c:pt>
                <c:pt idx="30">
                  <c:v>-14.000000000000021</c:v>
                </c:pt>
                <c:pt idx="31">
                  <c:v>-13.800000000000022</c:v>
                </c:pt>
                <c:pt idx="32">
                  <c:v>-13.600000000000023</c:v>
                </c:pt>
                <c:pt idx="33">
                  <c:v>-13.400000000000023</c:v>
                </c:pt>
                <c:pt idx="34">
                  <c:v>-13.200000000000024</c:v>
                </c:pt>
                <c:pt idx="35">
                  <c:v>-13.000000000000025</c:v>
                </c:pt>
                <c:pt idx="36">
                  <c:v>-12.800000000000026</c:v>
                </c:pt>
                <c:pt idx="37">
                  <c:v>-12.600000000000026</c:v>
                </c:pt>
                <c:pt idx="38">
                  <c:v>-12.400000000000027</c:v>
                </c:pt>
                <c:pt idx="39">
                  <c:v>-12.200000000000028</c:v>
                </c:pt>
                <c:pt idx="40">
                  <c:v>-12.000000000000028</c:v>
                </c:pt>
                <c:pt idx="41">
                  <c:v>-11.800000000000029</c:v>
                </c:pt>
                <c:pt idx="42">
                  <c:v>-11.60000000000003</c:v>
                </c:pt>
                <c:pt idx="43">
                  <c:v>-11.400000000000031</c:v>
                </c:pt>
                <c:pt idx="44">
                  <c:v>-11.200000000000031</c:v>
                </c:pt>
                <c:pt idx="45">
                  <c:v>-11.000000000000032</c:v>
                </c:pt>
                <c:pt idx="46">
                  <c:v>-10.800000000000033</c:v>
                </c:pt>
                <c:pt idx="47">
                  <c:v>-10.600000000000033</c:v>
                </c:pt>
                <c:pt idx="48">
                  <c:v>-10.400000000000034</c:v>
                </c:pt>
                <c:pt idx="49">
                  <c:v>-10.200000000000035</c:v>
                </c:pt>
                <c:pt idx="50">
                  <c:v>-10</c:v>
                </c:pt>
                <c:pt idx="51">
                  <c:v>-9.8000000000000007</c:v>
                </c:pt>
                <c:pt idx="52">
                  <c:v>-9.6000000000000014</c:v>
                </c:pt>
                <c:pt idx="53">
                  <c:v>-9.4000000000000021</c:v>
                </c:pt>
                <c:pt idx="54">
                  <c:v>-9.2000000000000028</c:v>
                </c:pt>
                <c:pt idx="55">
                  <c:v>-9.0000000000000036</c:v>
                </c:pt>
                <c:pt idx="56">
                  <c:v>-8.8000000000000043</c:v>
                </c:pt>
                <c:pt idx="57">
                  <c:v>-8.600000000000005</c:v>
                </c:pt>
                <c:pt idx="58">
                  <c:v>-8.4000000000000057</c:v>
                </c:pt>
                <c:pt idx="59">
                  <c:v>-8.2000000000000064</c:v>
                </c:pt>
                <c:pt idx="60">
                  <c:v>-8.0000000000000071</c:v>
                </c:pt>
                <c:pt idx="61">
                  <c:v>-7.8000000000000069</c:v>
                </c:pt>
                <c:pt idx="62">
                  <c:v>-7.6000000000000068</c:v>
                </c:pt>
                <c:pt idx="63">
                  <c:v>-7.4000000000000066</c:v>
                </c:pt>
                <c:pt idx="64">
                  <c:v>-7.2000000000000064</c:v>
                </c:pt>
                <c:pt idx="65">
                  <c:v>-7.0000000000000062</c:v>
                </c:pt>
                <c:pt idx="66">
                  <c:v>-6.800000000000006</c:v>
                </c:pt>
                <c:pt idx="67">
                  <c:v>-6.6000000000000059</c:v>
                </c:pt>
                <c:pt idx="68">
                  <c:v>-6.4000000000000057</c:v>
                </c:pt>
                <c:pt idx="69">
                  <c:v>-6.2000000000000055</c:v>
                </c:pt>
                <c:pt idx="70">
                  <c:v>-6.0000000000000053</c:v>
                </c:pt>
                <c:pt idx="71">
                  <c:v>-5.8000000000000052</c:v>
                </c:pt>
                <c:pt idx="72">
                  <c:v>-5.600000000000005</c:v>
                </c:pt>
                <c:pt idx="73">
                  <c:v>-5.4000000000000048</c:v>
                </c:pt>
                <c:pt idx="74">
                  <c:v>-5.2000000000000046</c:v>
                </c:pt>
                <c:pt idx="75">
                  <c:v>-5.0000000000000044</c:v>
                </c:pt>
                <c:pt idx="76">
                  <c:v>-4.8000000000000043</c:v>
                </c:pt>
                <c:pt idx="77">
                  <c:v>-4.6000000000000041</c:v>
                </c:pt>
                <c:pt idx="78">
                  <c:v>-4.4000000000000039</c:v>
                </c:pt>
                <c:pt idx="79">
                  <c:v>-4.2000000000000037</c:v>
                </c:pt>
                <c:pt idx="80">
                  <c:v>-4.0000000000000036</c:v>
                </c:pt>
                <c:pt idx="81">
                  <c:v>-3.8000000000000034</c:v>
                </c:pt>
                <c:pt idx="82">
                  <c:v>-3.6000000000000032</c:v>
                </c:pt>
                <c:pt idx="83">
                  <c:v>-3.400000000000003</c:v>
                </c:pt>
                <c:pt idx="84">
                  <c:v>-3.2000000000000028</c:v>
                </c:pt>
                <c:pt idx="85">
                  <c:v>-3.0000000000000027</c:v>
                </c:pt>
                <c:pt idx="86">
                  <c:v>-2.8000000000000025</c:v>
                </c:pt>
                <c:pt idx="87">
                  <c:v>-2.6000000000000023</c:v>
                </c:pt>
                <c:pt idx="88">
                  <c:v>-2.4000000000000021</c:v>
                </c:pt>
                <c:pt idx="89">
                  <c:v>-2.200000000000002</c:v>
                </c:pt>
                <c:pt idx="90">
                  <c:v>-2.0000000000000018</c:v>
                </c:pt>
                <c:pt idx="91">
                  <c:v>-1.8000000000000018</c:v>
                </c:pt>
                <c:pt idx="92">
                  <c:v>-1.6000000000000019</c:v>
                </c:pt>
                <c:pt idx="93">
                  <c:v>-1.4000000000000019</c:v>
                </c:pt>
                <c:pt idx="94">
                  <c:v>-1.200000000000002</c:v>
                </c:pt>
                <c:pt idx="95">
                  <c:v>-1.000000000000002</c:v>
                </c:pt>
                <c:pt idx="96">
                  <c:v>-0.80000000000000204</c:v>
                </c:pt>
                <c:pt idx="97">
                  <c:v>-0.60000000000000209</c:v>
                </c:pt>
                <c:pt idx="98">
                  <c:v>-0.40000000000000208</c:v>
                </c:pt>
                <c:pt idx="99">
                  <c:v>-0.20000000000000207</c:v>
                </c:pt>
                <c:pt idx="100">
                  <c:v>0</c:v>
                </c:pt>
                <c:pt idx="101">
                  <c:v>0.2</c:v>
                </c:pt>
                <c:pt idx="102">
                  <c:v>0.4</c:v>
                </c:pt>
                <c:pt idx="103">
                  <c:v>0.60000000000000009</c:v>
                </c:pt>
                <c:pt idx="104">
                  <c:v>0.8</c:v>
                </c:pt>
                <c:pt idx="105">
                  <c:v>1</c:v>
                </c:pt>
                <c:pt idx="106">
                  <c:v>1.2</c:v>
                </c:pt>
                <c:pt idx="107">
                  <c:v>1.4</c:v>
                </c:pt>
                <c:pt idx="108">
                  <c:v>1.5999999999999999</c:v>
                </c:pt>
                <c:pt idx="109">
                  <c:v>1.7999999999999998</c:v>
                </c:pt>
                <c:pt idx="110">
                  <c:v>1.9999999999999998</c:v>
                </c:pt>
                <c:pt idx="111">
                  <c:v>2.1999999999999997</c:v>
                </c:pt>
                <c:pt idx="112">
                  <c:v>2.4</c:v>
                </c:pt>
                <c:pt idx="113">
                  <c:v>2.6</c:v>
                </c:pt>
                <c:pt idx="114">
                  <c:v>2.8000000000000003</c:v>
                </c:pt>
                <c:pt idx="115">
                  <c:v>3.0000000000000004</c:v>
                </c:pt>
                <c:pt idx="116">
                  <c:v>3.2000000000000006</c:v>
                </c:pt>
                <c:pt idx="117">
                  <c:v>3.4000000000000008</c:v>
                </c:pt>
                <c:pt idx="118">
                  <c:v>3.600000000000001</c:v>
                </c:pt>
                <c:pt idx="119">
                  <c:v>3.8000000000000012</c:v>
                </c:pt>
                <c:pt idx="120">
                  <c:v>4.0000000000000009</c:v>
                </c:pt>
                <c:pt idx="121">
                  <c:v>4.2000000000000011</c:v>
                </c:pt>
                <c:pt idx="122">
                  <c:v>4.4000000000000012</c:v>
                </c:pt>
                <c:pt idx="123">
                  <c:v>4.6000000000000014</c:v>
                </c:pt>
                <c:pt idx="124">
                  <c:v>4.8000000000000016</c:v>
                </c:pt>
                <c:pt idx="125">
                  <c:v>5.0000000000000018</c:v>
                </c:pt>
                <c:pt idx="126">
                  <c:v>5.200000000000002</c:v>
                </c:pt>
                <c:pt idx="127">
                  <c:v>5.4000000000000021</c:v>
                </c:pt>
                <c:pt idx="128">
                  <c:v>5.6000000000000023</c:v>
                </c:pt>
                <c:pt idx="129">
                  <c:v>5.8000000000000025</c:v>
                </c:pt>
                <c:pt idx="130">
                  <c:v>6.0000000000000027</c:v>
                </c:pt>
                <c:pt idx="131">
                  <c:v>6.2000000000000028</c:v>
                </c:pt>
                <c:pt idx="132">
                  <c:v>6.400000000000003</c:v>
                </c:pt>
                <c:pt idx="133">
                  <c:v>6.6000000000000032</c:v>
                </c:pt>
                <c:pt idx="134">
                  <c:v>6.8000000000000034</c:v>
                </c:pt>
                <c:pt idx="135">
                  <c:v>7.0000000000000036</c:v>
                </c:pt>
                <c:pt idx="136">
                  <c:v>7.2000000000000037</c:v>
                </c:pt>
                <c:pt idx="137">
                  <c:v>7.4000000000000039</c:v>
                </c:pt>
                <c:pt idx="138">
                  <c:v>7.6000000000000041</c:v>
                </c:pt>
                <c:pt idx="139">
                  <c:v>7.8000000000000043</c:v>
                </c:pt>
                <c:pt idx="140">
                  <c:v>8.0000000000000036</c:v>
                </c:pt>
                <c:pt idx="141">
                  <c:v>8.2000000000000028</c:v>
                </c:pt>
                <c:pt idx="142">
                  <c:v>8.4000000000000021</c:v>
                </c:pt>
                <c:pt idx="143">
                  <c:v>8.6000000000000014</c:v>
                </c:pt>
                <c:pt idx="144">
                  <c:v>8.8000000000000007</c:v>
                </c:pt>
                <c:pt idx="145">
                  <c:v>9</c:v>
                </c:pt>
                <c:pt idx="146">
                  <c:v>9.1999999999999993</c:v>
                </c:pt>
                <c:pt idx="147">
                  <c:v>9.3999999999999986</c:v>
                </c:pt>
                <c:pt idx="148">
                  <c:v>9.5999999999999979</c:v>
                </c:pt>
                <c:pt idx="149">
                  <c:v>9.7999999999999972</c:v>
                </c:pt>
                <c:pt idx="150" formatCode="General">
                  <c:v>10</c:v>
                </c:pt>
                <c:pt idx="151">
                  <c:v>10.199999999999999</c:v>
                </c:pt>
                <c:pt idx="152">
                  <c:v>10.399999999999999</c:v>
                </c:pt>
                <c:pt idx="153">
                  <c:v>10.599999999999998</c:v>
                </c:pt>
                <c:pt idx="154">
                  <c:v>10.799999999999997</c:v>
                </c:pt>
                <c:pt idx="155">
                  <c:v>10.999999999999996</c:v>
                </c:pt>
                <c:pt idx="156">
                  <c:v>11.199999999999996</c:v>
                </c:pt>
                <c:pt idx="157">
                  <c:v>11.399999999999995</c:v>
                </c:pt>
                <c:pt idx="158">
                  <c:v>11.599999999999994</c:v>
                </c:pt>
                <c:pt idx="159">
                  <c:v>11.799999999999994</c:v>
                </c:pt>
                <c:pt idx="160">
                  <c:v>11.999999999999993</c:v>
                </c:pt>
                <c:pt idx="161">
                  <c:v>12.199999999999992</c:v>
                </c:pt>
                <c:pt idx="162">
                  <c:v>12.399999999999991</c:v>
                </c:pt>
                <c:pt idx="163">
                  <c:v>12.599999999999991</c:v>
                </c:pt>
                <c:pt idx="164">
                  <c:v>12.79999999999999</c:v>
                </c:pt>
                <c:pt idx="165">
                  <c:v>12.999999999999989</c:v>
                </c:pt>
                <c:pt idx="166">
                  <c:v>13.199999999999989</c:v>
                </c:pt>
                <c:pt idx="167">
                  <c:v>13.399999999999988</c:v>
                </c:pt>
                <c:pt idx="168">
                  <c:v>13.599999999999987</c:v>
                </c:pt>
                <c:pt idx="169">
                  <c:v>13.799999999999986</c:v>
                </c:pt>
                <c:pt idx="170">
                  <c:v>13.999999999999986</c:v>
                </c:pt>
                <c:pt idx="171">
                  <c:v>14.199999999999985</c:v>
                </c:pt>
                <c:pt idx="172">
                  <c:v>14.399999999999984</c:v>
                </c:pt>
                <c:pt idx="173">
                  <c:v>14.599999999999984</c:v>
                </c:pt>
                <c:pt idx="174">
                  <c:v>14.799999999999983</c:v>
                </c:pt>
                <c:pt idx="175">
                  <c:v>14.999999999999982</c:v>
                </c:pt>
                <c:pt idx="176">
                  <c:v>15.199999999999982</c:v>
                </c:pt>
                <c:pt idx="177">
                  <c:v>15.399999999999981</c:v>
                </c:pt>
                <c:pt idx="178">
                  <c:v>15.59999999999998</c:v>
                </c:pt>
                <c:pt idx="179">
                  <c:v>15.799999999999979</c:v>
                </c:pt>
                <c:pt idx="180">
                  <c:v>15.999999999999979</c:v>
                </c:pt>
                <c:pt idx="181">
                  <c:v>16.199999999999978</c:v>
                </c:pt>
                <c:pt idx="182">
                  <c:v>16.399999999999977</c:v>
                </c:pt>
                <c:pt idx="183">
                  <c:v>16.599999999999977</c:v>
                </c:pt>
                <c:pt idx="184">
                  <c:v>16.799999999999976</c:v>
                </c:pt>
                <c:pt idx="185">
                  <c:v>16.999999999999975</c:v>
                </c:pt>
                <c:pt idx="186">
                  <c:v>17.199999999999974</c:v>
                </c:pt>
                <c:pt idx="187">
                  <c:v>17.399999999999974</c:v>
                </c:pt>
                <c:pt idx="188">
                  <c:v>17.599999999999973</c:v>
                </c:pt>
                <c:pt idx="189">
                  <c:v>17.799999999999972</c:v>
                </c:pt>
                <c:pt idx="190">
                  <c:v>17.999999999999972</c:v>
                </c:pt>
                <c:pt idx="191">
                  <c:v>18.199999999999971</c:v>
                </c:pt>
                <c:pt idx="192">
                  <c:v>18.39999999999997</c:v>
                </c:pt>
                <c:pt idx="193">
                  <c:v>18.599999999999969</c:v>
                </c:pt>
                <c:pt idx="194">
                  <c:v>18.799999999999969</c:v>
                </c:pt>
                <c:pt idx="195">
                  <c:v>18.999999999999968</c:v>
                </c:pt>
                <c:pt idx="196">
                  <c:v>19.199999999999967</c:v>
                </c:pt>
                <c:pt idx="197">
                  <c:v>19.399999999999967</c:v>
                </c:pt>
                <c:pt idx="198">
                  <c:v>19.599999999999966</c:v>
                </c:pt>
                <c:pt idx="199">
                  <c:v>19.8</c:v>
                </c:pt>
                <c:pt idx="200">
                  <c:v>20</c:v>
                </c:pt>
              </c:numCache>
            </c:numRef>
          </c:cat>
          <c:val>
            <c:numRef>
              <c:f>(實驗數據!$Q$8:$Q$57,實驗數據!$S$8:$S$57,實驗數據!$U$8:$U$57,實驗數據!$W$8:$W$58)</c:f>
              <c:numCache>
                <c:formatCode>0.0</c:formatCode>
                <c:ptCount val="201"/>
                <c:pt idx="0">
                  <c:v>0.67200000000000004</c:v>
                </c:pt>
                <c:pt idx="1">
                  <c:v>0.61099999999999999</c:v>
                </c:pt>
                <c:pt idx="2">
                  <c:v>0.34799999999999998</c:v>
                </c:pt>
                <c:pt idx="3">
                  <c:v>0.155</c:v>
                </c:pt>
                <c:pt idx="4">
                  <c:v>0.216</c:v>
                </c:pt>
                <c:pt idx="5">
                  <c:v>0.499</c:v>
                </c:pt>
                <c:pt idx="6">
                  <c:v>0.82899999999999996</c:v>
                </c:pt>
                <c:pt idx="7">
                  <c:v>0.92700000000000005</c:v>
                </c:pt>
                <c:pt idx="8">
                  <c:v>0.59599999999999997</c:v>
                </c:pt>
                <c:pt idx="9">
                  <c:v>0.32600000000000001</c:v>
                </c:pt>
                <c:pt idx="10">
                  <c:v>0.214</c:v>
                </c:pt>
                <c:pt idx="11">
                  <c:v>0.46</c:v>
                </c:pt>
                <c:pt idx="12">
                  <c:v>0.72499999999999998</c:v>
                </c:pt>
                <c:pt idx="13">
                  <c:v>0.70299999999999996</c:v>
                </c:pt>
                <c:pt idx="14">
                  <c:v>0.52</c:v>
                </c:pt>
                <c:pt idx="15">
                  <c:v>0.39039999999999997</c:v>
                </c:pt>
                <c:pt idx="16">
                  <c:v>0.52329999999999999</c:v>
                </c:pt>
                <c:pt idx="17">
                  <c:v>0.8</c:v>
                </c:pt>
                <c:pt idx="18">
                  <c:v>0.67700000000000005</c:v>
                </c:pt>
                <c:pt idx="19">
                  <c:v>0.27239999999999998</c:v>
                </c:pt>
                <c:pt idx="20">
                  <c:v>0.19069999999999998</c:v>
                </c:pt>
                <c:pt idx="21">
                  <c:v>0.439</c:v>
                </c:pt>
                <c:pt idx="22">
                  <c:v>0.86799999999999999</c:v>
                </c:pt>
                <c:pt idx="23">
                  <c:v>1.0860000000000001</c:v>
                </c:pt>
                <c:pt idx="24">
                  <c:v>0.88200000000000001</c:v>
                </c:pt>
                <c:pt idx="25">
                  <c:v>0.48599999999999999</c:v>
                </c:pt>
                <c:pt idx="26">
                  <c:v>0.20369999999999999</c:v>
                </c:pt>
                <c:pt idx="27">
                  <c:v>0.4113</c:v>
                </c:pt>
                <c:pt idx="28">
                  <c:v>0.78110000000000002</c:v>
                </c:pt>
                <c:pt idx="29">
                  <c:v>0.88</c:v>
                </c:pt>
                <c:pt idx="30">
                  <c:v>0.83920000000000006</c:v>
                </c:pt>
                <c:pt idx="31">
                  <c:v>0.66920000000000002</c:v>
                </c:pt>
                <c:pt idx="32">
                  <c:v>0.63129999999999997</c:v>
                </c:pt>
                <c:pt idx="33">
                  <c:v>0.67389999999999994</c:v>
                </c:pt>
                <c:pt idx="34">
                  <c:v>0.61299999999999999</c:v>
                </c:pt>
                <c:pt idx="35">
                  <c:v>0.39200000000000002</c:v>
                </c:pt>
                <c:pt idx="36">
                  <c:v>0.20599999999999999</c:v>
                </c:pt>
                <c:pt idx="37">
                  <c:v>0.29860000000000003</c:v>
                </c:pt>
                <c:pt idx="38">
                  <c:v>0.78</c:v>
                </c:pt>
                <c:pt idx="39">
                  <c:v>1.052</c:v>
                </c:pt>
                <c:pt idx="40">
                  <c:v>0.93</c:v>
                </c:pt>
                <c:pt idx="41">
                  <c:v>0.61899999999999999</c:v>
                </c:pt>
                <c:pt idx="42">
                  <c:v>0.48</c:v>
                </c:pt>
                <c:pt idx="43">
                  <c:v>0.52300000000000002</c:v>
                </c:pt>
                <c:pt idx="44">
                  <c:v>0.64900000000000002</c:v>
                </c:pt>
                <c:pt idx="45">
                  <c:v>0.88800000000000001</c:v>
                </c:pt>
                <c:pt idx="46">
                  <c:v>1.3979999999999999</c:v>
                </c:pt>
                <c:pt idx="47">
                  <c:v>2.278</c:v>
                </c:pt>
                <c:pt idx="48">
                  <c:v>2.5859999999999999</c:v>
                </c:pt>
                <c:pt idx="49">
                  <c:v>2.2519999999999998</c:v>
                </c:pt>
                <c:pt idx="50">
                  <c:v>1.3480000000000001</c:v>
                </c:pt>
                <c:pt idx="51">
                  <c:v>0.53800000000000003</c:v>
                </c:pt>
                <c:pt idx="52">
                  <c:v>0.85099999999999998</c:v>
                </c:pt>
                <c:pt idx="53">
                  <c:v>2.2599999999999998</c:v>
                </c:pt>
                <c:pt idx="54">
                  <c:v>4.8099999999999996</c:v>
                </c:pt>
                <c:pt idx="55">
                  <c:v>4.9390000000000001</c:v>
                </c:pt>
                <c:pt idx="56">
                  <c:v>2.91</c:v>
                </c:pt>
                <c:pt idx="57">
                  <c:v>0.76200000000000001</c:v>
                </c:pt>
                <c:pt idx="58">
                  <c:v>0.60899999999999999</c:v>
                </c:pt>
                <c:pt idx="59">
                  <c:v>2.476</c:v>
                </c:pt>
                <c:pt idx="60">
                  <c:v>4.7649999999999997</c:v>
                </c:pt>
                <c:pt idx="61">
                  <c:v>5.1100000000000003</c:v>
                </c:pt>
                <c:pt idx="62">
                  <c:v>3.4489999999999998</c:v>
                </c:pt>
                <c:pt idx="63">
                  <c:v>1.272</c:v>
                </c:pt>
                <c:pt idx="64">
                  <c:v>0.59199999999999997</c:v>
                </c:pt>
                <c:pt idx="65">
                  <c:v>1.714</c:v>
                </c:pt>
                <c:pt idx="66">
                  <c:v>2.9329999999999998</c:v>
                </c:pt>
                <c:pt idx="67">
                  <c:v>3.0539999999999998</c:v>
                </c:pt>
                <c:pt idx="68">
                  <c:v>1.855</c:v>
                </c:pt>
                <c:pt idx="69">
                  <c:v>0.51500000000000001</c:v>
                </c:pt>
                <c:pt idx="70">
                  <c:v>0.42</c:v>
                </c:pt>
                <c:pt idx="71">
                  <c:v>1.532</c:v>
                </c:pt>
                <c:pt idx="72">
                  <c:v>3.1459999999999999</c:v>
                </c:pt>
                <c:pt idx="73">
                  <c:v>5.2450000000000001</c:v>
                </c:pt>
                <c:pt idx="74">
                  <c:v>5.4710000000000001</c:v>
                </c:pt>
                <c:pt idx="75">
                  <c:v>3.8759999999999999</c:v>
                </c:pt>
                <c:pt idx="76">
                  <c:v>1.641</c:v>
                </c:pt>
                <c:pt idx="77">
                  <c:v>1.5</c:v>
                </c:pt>
                <c:pt idx="78">
                  <c:v>6.8129999999999997</c:v>
                </c:pt>
                <c:pt idx="79">
                  <c:v>1.8120000000000001</c:v>
                </c:pt>
                <c:pt idx="80">
                  <c:v>25.55</c:v>
                </c:pt>
                <c:pt idx="81">
                  <c:v>22.92</c:v>
                </c:pt>
                <c:pt idx="82">
                  <c:v>9.2899999999999991</c:v>
                </c:pt>
                <c:pt idx="83">
                  <c:v>2.4300000000000002</c:v>
                </c:pt>
                <c:pt idx="84">
                  <c:v>11.04</c:v>
                </c:pt>
                <c:pt idx="85">
                  <c:v>29.34</c:v>
                </c:pt>
                <c:pt idx="86">
                  <c:v>58.19</c:v>
                </c:pt>
                <c:pt idx="87">
                  <c:v>62.61</c:v>
                </c:pt>
                <c:pt idx="88">
                  <c:v>43.81</c:v>
                </c:pt>
                <c:pt idx="89">
                  <c:v>9.48</c:v>
                </c:pt>
                <c:pt idx="90">
                  <c:v>12.17</c:v>
                </c:pt>
                <c:pt idx="91">
                  <c:v>55.41</c:v>
                </c:pt>
                <c:pt idx="92">
                  <c:v>101.84</c:v>
                </c:pt>
                <c:pt idx="93">
                  <c:v>118.65</c:v>
                </c:pt>
                <c:pt idx="94">
                  <c:v>84.94</c:v>
                </c:pt>
                <c:pt idx="95">
                  <c:v>22.51</c:v>
                </c:pt>
                <c:pt idx="96">
                  <c:v>9.02</c:v>
                </c:pt>
                <c:pt idx="97">
                  <c:v>45.55</c:v>
                </c:pt>
                <c:pt idx="98">
                  <c:v>127.1</c:v>
                </c:pt>
                <c:pt idx="99">
                  <c:v>155.04</c:v>
                </c:pt>
                <c:pt idx="100">
                  <c:v>129.6</c:v>
                </c:pt>
                <c:pt idx="101">
                  <c:v>45.11</c:v>
                </c:pt>
                <c:pt idx="102">
                  <c:v>9.8800000000000008</c:v>
                </c:pt>
                <c:pt idx="103">
                  <c:v>40.32</c:v>
                </c:pt>
                <c:pt idx="104">
                  <c:v>97.1</c:v>
                </c:pt>
                <c:pt idx="105">
                  <c:v>142.58000000000001</c:v>
                </c:pt>
                <c:pt idx="106">
                  <c:v>125.29</c:v>
                </c:pt>
                <c:pt idx="107">
                  <c:v>85.88</c:v>
                </c:pt>
                <c:pt idx="108">
                  <c:v>20.74</c:v>
                </c:pt>
                <c:pt idx="109">
                  <c:v>10.9</c:v>
                </c:pt>
                <c:pt idx="110">
                  <c:v>56.74</c:v>
                </c:pt>
                <c:pt idx="111">
                  <c:v>94.48</c:v>
                </c:pt>
                <c:pt idx="112">
                  <c:v>101.82</c:v>
                </c:pt>
                <c:pt idx="113">
                  <c:v>75.98</c:v>
                </c:pt>
                <c:pt idx="114">
                  <c:v>23.41</c:v>
                </c:pt>
                <c:pt idx="115">
                  <c:v>4.3499999999999996</c:v>
                </c:pt>
                <c:pt idx="116">
                  <c:v>23.88</c:v>
                </c:pt>
                <c:pt idx="117">
                  <c:v>40.04</c:v>
                </c:pt>
                <c:pt idx="118">
                  <c:v>43.83</c:v>
                </c:pt>
                <c:pt idx="119">
                  <c:v>27.49</c:v>
                </c:pt>
                <c:pt idx="120">
                  <c:v>9.36</c:v>
                </c:pt>
                <c:pt idx="121">
                  <c:v>2.71</c:v>
                </c:pt>
                <c:pt idx="122">
                  <c:v>8.81</c:v>
                </c:pt>
                <c:pt idx="123">
                  <c:v>13.35</c:v>
                </c:pt>
                <c:pt idx="124">
                  <c:v>12.73</c:v>
                </c:pt>
                <c:pt idx="125">
                  <c:v>6.4</c:v>
                </c:pt>
                <c:pt idx="126">
                  <c:v>2.12</c:v>
                </c:pt>
                <c:pt idx="127">
                  <c:v>1.26</c:v>
                </c:pt>
                <c:pt idx="128">
                  <c:v>3.17</c:v>
                </c:pt>
                <c:pt idx="129">
                  <c:v>5.28</c:v>
                </c:pt>
                <c:pt idx="130">
                  <c:v>5.55</c:v>
                </c:pt>
                <c:pt idx="131">
                  <c:v>3.61</c:v>
                </c:pt>
                <c:pt idx="132">
                  <c:v>2.121</c:v>
                </c:pt>
                <c:pt idx="133">
                  <c:v>0.998</c:v>
                </c:pt>
                <c:pt idx="134">
                  <c:v>1.3859999999999999</c:v>
                </c:pt>
                <c:pt idx="135">
                  <c:v>3.9489999999999998</c:v>
                </c:pt>
                <c:pt idx="136">
                  <c:v>6.65</c:v>
                </c:pt>
                <c:pt idx="137">
                  <c:v>7.8520000000000003</c:v>
                </c:pt>
                <c:pt idx="138">
                  <c:v>6.1539999999999999</c:v>
                </c:pt>
                <c:pt idx="139">
                  <c:v>3.2040000000000002</c:v>
                </c:pt>
                <c:pt idx="140">
                  <c:v>0.83199999999999996</c:v>
                </c:pt>
                <c:pt idx="141">
                  <c:v>1.173</c:v>
                </c:pt>
                <c:pt idx="142">
                  <c:v>4.6509999999999998</c:v>
                </c:pt>
                <c:pt idx="143">
                  <c:v>7.3010000000000002</c:v>
                </c:pt>
                <c:pt idx="144">
                  <c:v>6.9991000000000003</c:v>
                </c:pt>
                <c:pt idx="145">
                  <c:v>4.2190000000000003</c:v>
                </c:pt>
                <c:pt idx="146">
                  <c:v>1.1180000000000001</c:v>
                </c:pt>
                <c:pt idx="147">
                  <c:v>0.84299999999999997</c:v>
                </c:pt>
                <c:pt idx="148">
                  <c:v>2.254</c:v>
                </c:pt>
                <c:pt idx="149">
                  <c:v>3.5609999999999999</c:v>
                </c:pt>
                <c:pt idx="150">
                  <c:v>4.0149999999999997</c:v>
                </c:pt>
                <c:pt idx="151">
                  <c:v>2.871</c:v>
                </c:pt>
                <c:pt idx="152">
                  <c:v>1.7</c:v>
                </c:pt>
                <c:pt idx="153">
                  <c:v>1.337</c:v>
                </c:pt>
                <c:pt idx="154">
                  <c:v>1.55</c:v>
                </c:pt>
                <c:pt idx="155">
                  <c:v>1.224</c:v>
                </c:pt>
                <c:pt idx="156">
                  <c:v>0.68899999999999995</c:v>
                </c:pt>
                <c:pt idx="157">
                  <c:v>0.753</c:v>
                </c:pt>
                <c:pt idx="158">
                  <c:v>1.1319999999999999</c:v>
                </c:pt>
                <c:pt idx="159">
                  <c:v>1.415</c:v>
                </c:pt>
                <c:pt idx="160">
                  <c:v>1.1830000000000001</c:v>
                </c:pt>
                <c:pt idx="161">
                  <c:v>0.76700000000000002</c:v>
                </c:pt>
                <c:pt idx="162">
                  <c:v>0.28599999999999998</c:v>
                </c:pt>
                <c:pt idx="163">
                  <c:v>0.41</c:v>
                </c:pt>
                <c:pt idx="164">
                  <c:v>0.59799999999999998</c:v>
                </c:pt>
                <c:pt idx="165">
                  <c:v>0.79500000000000004</c:v>
                </c:pt>
                <c:pt idx="166">
                  <c:v>0.76500000000000001</c:v>
                </c:pt>
                <c:pt idx="167">
                  <c:v>0.68500000000000005</c:v>
                </c:pt>
                <c:pt idx="168">
                  <c:v>0.74590000000000001</c:v>
                </c:pt>
                <c:pt idx="169">
                  <c:v>0.85220000000000007</c:v>
                </c:pt>
                <c:pt idx="170">
                  <c:v>0.78520000000000001</c:v>
                </c:pt>
                <c:pt idx="171">
                  <c:v>0.53970000000000007</c:v>
                </c:pt>
                <c:pt idx="172">
                  <c:v>0.24399999999999999</c:v>
                </c:pt>
                <c:pt idx="173">
                  <c:v>0.25639999999999996</c:v>
                </c:pt>
                <c:pt idx="174">
                  <c:v>0.59870000000000001</c:v>
                </c:pt>
                <c:pt idx="175">
                  <c:v>0.88300000000000001</c:v>
                </c:pt>
                <c:pt idx="176">
                  <c:v>0.96299999999999997</c:v>
                </c:pt>
                <c:pt idx="177">
                  <c:v>0.70899999999999996</c:v>
                </c:pt>
                <c:pt idx="178">
                  <c:v>0.40500000000000003</c:v>
                </c:pt>
                <c:pt idx="179">
                  <c:v>0.22700000000000001</c:v>
                </c:pt>
                <c:pt idx="180">
                  <c:v>0.26900000000000002</c:v>
                </c:pt>
                <c:pt idx="181">
                  <c:v>0.434</c:v>
                </c:pt>
                <c:pt idx="182">
                  <c:v>0.59</c:v>
                </c:pt>
                <c:pt idx="183">
                  <c:v>0.70199999999999996</c:v>
                </c:pt>
                <c:pt idx="184">
                  <c:v>0.73799999999999999</c:v>
                </c:pt>
                <c:pt idx="185">
                  <c:v>0.68100000000000005</c:v>
                </c:pt>
                <c:pt idx="186">
                  <c:v>0.48399999999999999</c:v>
                </c:pt>
                <c:pt idx="187">
                  <c:v>0.24099999999999999</c:v>
                </c:pt>
                <c:pt idx="188">
                  <c:v>0.19</c:v>
                </c:pt>
                <c:pt idx="189">
                  <c:v>0.436</c:v>
                </c:pt>
                <c:pt idx="190">
                  <c:v>0.73099999999999998</c:v>
                </c:pt>
                <c:pt idx="191">
                  <c:v>0.83499999999999996</c:v>
                </c:pt>
                <c:pt idx="192">
                  <c:v>0.58499999999999996</c:v>
                </c:pt>
                <c:pt idx="193">
                  <c:v>0.2319</c:v>
                </c:pt>
                <c:pt idx="194">
                  <c:v>7.8E-2</c:v>
                </c:pt>
                <c:pt idx="195">
                  <c:v>0.19400000000000001</c:v>
                </c:pt>
                <c:pt idx="196">
                  <c:v>0.48</c:v>
                </c:pt>
                <c:pt idx="197">
                  <c:v>0.57399999999999995</c:v>
                </c:pt>
                <c:pt idx="198">
                  <c:v>0.46</c:v>
                </c:pt>
                <c:pt idx="199">
                  <c:v>0.2382</c:v>
                </c:pt>
                <c:pt idx="200">
                  <c:v>0.1026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11-46C8-B1B4-6AFD0F6D5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178496"/>
        <c:axId val="553177536"/>
      </c:lineChart>
      <c:catAx>
        <c:axId val="55317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位置</a:t>
                </a:r>
                <a:r>
                  <a:rPr lang="en-US" altLang="zh-TW"/>
                  <a:t>(mm)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177536"/>
        <c:crosses val="autoZero"/>
        <c:auto val="1"/>
        <c:lblAlgn val="ctr"/>
        <c:lblOffset val="100"/>
        <c:noMultiLvlLbl val="0"/>
      </c:catAx>
      <c:valAx>
        <c:axId val="5531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照度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1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第一次實驗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實驗數據!$H$7</c:f>
              <c:strCache>
                <c:ptCount val="1"/>
                <c:pt idx="0">
                  <c:v>照度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4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D6F0-4A55-B3CD-852176E31C3C}"/>
                </c:ext>
              </c:extLst>
            </c:dLbl>
            <c:dLbl>
              <c:idx val="31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2-D6F0-4A55-B3CD-852176E31C3C}"/>
                </c:ext>
              </c:extLst>
            </c:dLbl>
            <c:dLbl>
              <c:idx val="36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D6F0-4A55-B3CD-852176E31C3C}"/>
                </c:ext>
              </c:extLst>
            </c:dLbl>
            <c:dLbl>
              <c:idx val="43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D-D6F0-4A55-B3CD-852176E31C3C}"/>
                </c:ext>
              </c:extLst>
            </c:dLbl>
            <c:dLbl>
              <c:idx val="49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D6F0-4A55-B3CD-852176E31C3C}"/>
                </c:ext>
              </c:extLst>
            </c:dLbl>
            <c:dLbl>
              <c:idx val="56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E-D6F0-4A55-B3CD-852176E31C3C}"/>
                </c:ext>
              </c:extLst>
            </c:dLbl>
            <c:dLbl>
              <c:idx val="61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F-D6F0-4A55-B3CD-852176E31C3C}"/>
                </c:ext>
              </c:extLst>
            </c:dLbl>
            <c:dLbl>
              <c:idx val="68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0-D6F0-4A55-B3CD-852176E31C3C}"/>
                </c:ext>
              </c:extLst>
            </c:dLbl>
            <c:dLbl>
              <c:idx val="74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6F0-4A55-B3CD-852176E31C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(實驗數據!$I$8:$I$57,實驗數據!$K$8:$K$57,實驗數據!$M$8)</c:f>
              <c:numCache>
                <c:formatCode>0.0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-9.6000000000000014</c:v>
                </c:pt>
                <c:pt idx="3">
                  <c:v>-9.4000000000000021</c:v>
                </c:pt>
                <c:pt idx="4">
                  <c:v>-9.2000000000000028</c:v>
                </c:pt>
                <c:pt idx="5">
                  <c:v>-9.0000000000000036</c:v>
                </c:pt>
                <c:pt idx="6">
                  <c:v>-8.8000000000000043</c:v>
                </c:pt>
                <c:pt idx="7">
                  <c:v>-8.600000000000005</c:v>
                </c:pt>
                <c:pt idx="8">
                  <c:v>-8.4000000000000057</c:v>
                </c:pt>
                <c:pt idx="9">
                  <c:v>-8.2000000000000064</c:v>
                </c:pt>
                <c:pt idx="10">
                  <c:v>-8.0000000000000071</c:v>
                </c:pt>
                <c:pt idx="11">
                  <c:v>-7.8000000000000069</c:v>
                </c:pt>
                <c:pt idx="12">
                  <c:v>-7.6000000000000068</c:v>
                </c:pt>
                <c:pt idx="13">
                  <c:v>-7.4000000000000066</c:v>
                </c:pt>
                <c:pt idx="14">
                  <c:v>-7.2000000000000064</c:v>
                </c:pt>
                <c:pt idx="15">
                  <c:v>-7.0000000000000062</c:v>
                </c:pt>
                <c:pt idx="16">
                  <c:v>-6.800000000000006</c:v>
                </c:pt>
                <c:pt idx="17">
                  <c:v>-6.6000000000000059</c:v>
                </c:pt>
                <c:pt idx="18">
                  <c:v>-6.4000000000000057</c:v>
                </c:pt>
                <c:pt idx="19">
                  <c:v>-6.2000000000000055</c:v>
                </c:pt>
                <c:pt idx="20">
                  <c:v>-6.0000000000000053</c:v>
                </c:pt>
                <c:pt idx="21">
                  <c:v>-5.8000000000000052</c:v>
                </c:pt>
                <c:pt idx="22">
                  <c:v>-5.600000000000005</c:v>
                </c:pt>
                <c:pt idx="23">
                  <c:v>-5.4000000000000048</c:v>
                </c:pt>
                <c:pt idx="24">
                  <c:v>-5.2000000000000046</c:v>
                </c:pt>
                <c:pt idx="25">
                  <c:v>-5.0000000000000044</c:v>
                </c:pt>
                <c:pt idx="26">
                  <c:v>-4.8000000000000043</c:v>
                </c:pt>
                <c:pt idx="27">
                  <c:v>-4.6000000000000041</c:v>
                </c:pt>
                <c:pt idx="28">
                  <c:v>-4.4000000000000039</c:v>
                </c:pt>
                <c:pt idx="29">
                  <c:v>-4.2000000000000037</c:v>
                </c:pt>
                <c:pt idx="30">
                  <c:v>-4.0000000000000036</c:v>
                </c:pt>
                <c:pt idx="31">
                  <c:v>-3.8000000000000034</c:v>
                </c:pt>
                <c:pt idx="32">
                  <c:v>-3.6000000000000032</c:v>
                </c:pt>
                <c:pt idx="33">
                  <c:v>-3.400000000000003</c:v>
                </c:pt>
                <c:pt idx="34">
                  <c:v>-3.2000000000000028</c:v>
                </c:pt>
                <c:pt idx="35">
                  <c:v>-3.0000000000000027</c:v>
                </c:pt>
                <c:pt idx="36">
                  <c:v>-2.8000000000000025</c:v>
                </c:pt>
                <c:pt idx="37">
                  <c:v>-2.6000000000000023</c:v>
                </c:pt>
                <c:pt idx="38">
                  <c:v>-2.4000000000000021</c:v>
                </c:pt>
                <c:pt idx="39">
                  <c:v>-2.200000000000002</c:v>
                </c:pt>
                <c:pt idx="40">
                  <c:v>-2.0000000000000018</c:v>
                </c:pt>
                <c:pt idx="41">
                  <c:v>-1.8000000000000018</c:v>
                </c:pt>
                <c:pt idx="42">
                  <c:v>-1.6000000000000019</c:v>
                </c:pt>
                <c:pt idx="43">
                  <c:v>-1.4000000000000019</c:v>
                </c:pt>
                <c:pt idx="44">
                  <c:v>-1.200000000000002</c:v>
                </c:pt>
                <c:pt idx="45">
                  <c:v>-1.000000000000002</c:v>
                </c:pt>
                <c:pt idx="46">
                  <c:v>-0.80000000000000204</c:v>
                </c:pt>
                <c:pt idx="47">
                  <c:v>-0.60000000000000209</c:v>
                </c:pt>
                <c:pt idx="48">
                  <c:v>-0.40000000000000208</c:v>
                </c:pt>
                <c:pt idx="49">
                  <c:v>-0.20000000000000207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0.60000000000000009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1.5999999999999999</c:v>
                </c:pt>
                <c:pt idx="59">
                  <c:v>1.7999999999999998</c:v>
                </c:pt>
                <c:pt idx="60">
                  <c:v>1.9999999999999998</c:v>
                </c:pt>
                <c:pt idx="61">
                  <c:v>2.1999999999999997</c:v>
                </c:pt>
                <c:pt idx="62">
                  <c:v>2.4</c:v>
                </c:pt>
                <c:pt idx="63">
                  <c:v>2.6</c:v>
                </c:pt>
                <c:pt idx="64">
                  <c:v>2.8000000000000003</c:v>
                </c:pt>
                <c:pt idx="65">
                  <c:v>3.0000000000000004</c:v>
                </c:pt>
                <c:pt idx="66">
                  <c:v>3.2000000000000006</c:v>
                </c:pt>
                <c:pt idx="67">
                  <c:v>3.4000000000000008</c:v>
                </c:pt>
                <c:pt idx="68">
                  <c:v>3.600000000000001</c:v>
                </c:pt>
                <c:pt idx="69">
                  <c:v>3.8000000000000012</c:v>
                </c:pt>
                <c:pt idx="70">
                  <c:v>4.0000000000000009</c:v>
                </c:pt>
                <c:pt idx="71">
                  <c:v>4.2000000000000011</c:v>
                </c:pt>
                <c:pt idx="72">
                  <c:v>4.4000000000000012</c:v>
                </c:pt>
                <c:pt idx="73">
                  <c:v>4.6000000000000014</c:v>
                </c:pt>
                <c:pt idx="74">
                  <c:v>4.8000000000000016</c:v>
                </c:pt>
                <c:pt idx="75">
                  <c:v>5.0000000000000018</c:v>
                </c:pt>
                <c:pt idx="76">
                  <c:v>5.200000000000002</c:v>
                </c:pt>
                <c:pt idx="77">
                  <c:v>5.4000000000000021</c:v>
                </c:pt>
                <c:pt idx="78">
                  <c:v>5.6000000000000023</c:v>
                </c:pt>
                <c:pt idx="79">
                  <c:v>5.8000000000000025</c:v>
                </c:pt>
                <c:pt idx="80">
                  <c:v>6.0000000000000027</c:v>
                </c:pt>
                <c:pt idx="81">
                  <c:v>6.2000000000000028</c:v>
                </c:pt>
                <c:pt idx="82">
                  <c:v>6.400000000000003</c:v>
                </c:pt>
                <c:pt idx="83">
                  <c:v>6.6000000000000032</c:v>
                </c:pt>
                <c:pt idx="84">
                  <c:v>6.8000000000000034</c:v>
                </c:pt>
                <c:pt idx="85">
                  <c:v>7.0000000000000036</c:v>
                </c:pt>
                <c:pt idx="86">
                  <c:v>7.2000000000000037</c:v>
                </c:pt>
                <c:pt idx="87">
                  <c:v>7.4000000000000039</c:v>
                </c:pt>
                <c:pt idx="88">
                  <c:v>7.6000000000000041</c:v>
                </c:pt>
                <c:pt idx="89">
                  <c:v>7.8000000000000043</c:v>
                </c:pt>
                <c:pt idx="90">
                  <c:v>8.0000000000000036</c:v>
                </c:pt>
                <c:pt idx="91">
                  <c:v>8.2000000000000028</c:v>
                </c:pt>
                <c:pt idx="92">
                  <c:v>8.4000000000000021</c:v>
                </c:pt>
                <c:pt idx="93">
                  <c:v>8.6000000000000014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9.3999999999999986</c:v>
                </c:pt>
                <c:pt idx="98">
                  <c:v>9.5999999999999979</c:v>
                </c:pt>
                <c:pt idx="99">
                  <c:v>9.7999999999999972</c:v>
                </c:pt>
                <c:pt idx="100" formatCode="General">
                  <c:v>10</c:v>
                </c:pt>
              </c:numCache>
            </c:numRef>
          </c:cat>
          <c:val>
            <c:numRef>
              <c:f>(實驗數據!$J$8:$J$57,實驗數據!$L$8:$L$57,實驗數據!$N$8)</c:f>
              <c:numCache>
                <c:formatCode>0.0</c:formatCode>
                <c:ptCount val="101"/>
                <c:pt idx="0">
                  <c:v>1.8320000000000001</c:v>
                </c:pt>
                <c:pt idx="1">
                  <c:v>0.66800000000000004</c:v>
                </c:pt>
                <c:pt idx="2">
                  <c:v>1.0589999999999999</c:v>
                </c:pt>
                <c:pt idx="3">
                  <c:v>3.1150000000000002</c:v>
                </c:pt>
                <c:pt idx="4">
                  <c:v>4.9029999999999996</c:v>
                </c:pt>
                <c:pt idx="5">
                  <c:v>5.0570000000000004</c:v>
                </c:pt>
                <c:pt idx="6">
                  <c:v>3.306</c:v>
                </c:pt>
                <c:pt idx="7">
                  <c:v>0.91500000000000004</c:v>
                </c:pt>
                <c:pt idx="8">
                  <c:v>0.63700000000000001</c:v>
                </c:pt>
                <c:pt idx="9">
                  <c:v>2.198</c:v>
                </c:pt>
                <c:pt idx="10">
                  <c:v>4.3529999999999998</c:v>
                </c:pt>
                <c:pt idx="11">
                  <c:v>4.9530000000000003</c:v>
                </c:pt>
                <c:pt idx="12">
                  <c:v>2.9649999999999999</c:v>
                </c:pt>
                <c:pt idx="13">
                  <c:v>0.80900000000000005</c:v>
                </c:pt>
                <c:pt idx="14">
                  <c:v>0.79200000000000004</c:v>
                </c:pt>
                <c:pt idx="15">
                  <c:v>2.0129999999999999</c:v>
                </c:pt>
                <c:pt idx="16">
                  <c:v>3.2879999999999998</c:v>
                </c:pt>
                <c:pt idx="17">
                  <c:v>2.9089999999999998</c:v>
                </c:pt>
                <c:pt idx="18">
                  <c:v>1.405</c:v>
                </c:pt>
                <c:pt idx="19">
                  <c:v>0.57599999999999996</c:v>
                </c:pt>
                <c:pt idx="20">
                  <c:v>0.38600000000000001</c:v>
                </c:pt>
                <c:pt idx="21">
                  <c:v>1.5409999999999999</c:v>
                </c:pt>
                <c:pt idx="22">
                  <c:v>3.2170000000000001</c:v>
                </c:pt>
                <c:pt idx="23">
                  <c:v>4.9649999999999999</c:v>
                </c:pt>
                <c:pt idx="24">
                  <c:v>5.6879999999999997</c:v>
                </c:pt>
                <c:pt idx="25">
                  <c:v>3.5059999999999998</c:v>
                </c:pt>
                <c:pt idx="26">
                  <c:v>1.1910000000000001</c:v>
                </c:pt>
                <c:pt idx="27">
                  <c:v>1.7330000000000001</c:v>
                </c:pt>
                <c:pt idx="28">
                  <c:v>8.8710000000000004</c:v>
                </c:pt>
                <c:pt idx="29">
                  <c:v>15.776</c:v>
                </c:pt>
                <c:pt idx="30">
                  <c:v>21.73</c:v>
                </c:pt>
                <c:pt idx="31">
                  <c:v>23.91</c:v>
                </c:pt>
                <c:pt idx="32">
                  <c:v>14.83</c:v>
                </c:pt>
                <c:pt idx="33">
                  <c:v>2.66</c:v>
                </c:pt>
                <c:pt idx="34">
                  <c:v>14.29</c:v>
                </c:pt>
                <c:pt idx="35">
                  <c:v>45.84</c:v>
                </c:pt>
                <c:pt idx="36">
                  <c:v>67.3</c:v>
                </c:pt>
                <c:pt idx="37">
                  <c:v>61.04</c:v>
                </c:pt>
                <c:pt idx="38">
                  <c:v>32.03</c:v>
                </c:pt>
                <c:pt idx="39">
                  <c:v>6.98</c:v>
                </c:pt>
                <c:pt idx="40">
                  <c:v>14.63</c:v>
                </c:pt>
                <c:pt idx="41">
                  <c:v>54.37</c:v>
                </c:pt>
                <c:pt idx="42">
                  <c:v>111.79</c:v>
                </c:pt>
                <c:pt idx="43">
                  <c:v>115.95</c:v>
                </c:pt>
                <c:pt idx="44">
                  <c:v>78.44</c:v>
                </c:pt>
                <c:pt idx="45">
                  <c:v>21.67</c:v>
                </c:pt>
                <c:pt idx="46">
                  <c:v>15.55</c:v>
                </c:pt>
                <c:pt idx="47">
                  <c:v>60.59</c:v>
                </c:pt>
                <c:pt idx="48">
                  <c:v>131.59</c:v>
                </c:pt>
                <c:pt idx="49">
                  <c:v>155.29</c:v>
                </c:pt>
                <c:pt idx="50">
                  <c:v>130.46</c:v>
                </c:pt>
                <c:pt idx="51">
                  <c:v>34.17</c:v>
                </c:pt>
                <c:pt idx="52">
                  <c:v>9.98</c:v>
                </c:pt>
                <c:pt idx="53">
                  <c:v>22.82</c:v>
                </c:pt>
                <c:pt idx="54">
                  <c:v>78.260000000000005</c:v>
                </c:pt>
                <c:pt idx="55">
                  <c:v>129.81</c:v>
                </c:pt>
                <c:pt idx="56">
                  <c:v>134.06</c:v>
                </c:pt>
                <c:pt idx="57">
                  <c:v>79.91</c:v>
                </c:pt>
                <c:pt idx="58">
                  <c:v>17.440000000000001</c:v>
                </c:pt>
                <c:pt idx="59">
                  <c:v>11.79</c:v>
                </c:pt>
                <c:pt idx="60">
                  <c:v>66.319999999999993</c:v>
                </c:pt>
                <c:pt idx="61">
                  <c:v>100.76</c:v>
                </c:pt>
                <c:pt idx="62">
                  <c:v>96.45</c:v>
                </c:pt>
                <c:pt idx="63">
                  <c:v>60.76</c:v>
                </c:pt>
                <c:pt idx="64">
                  <c:v>24.36</c:v>
                </c:pt>
                <c:pt idx="65">
                  <c:v>4.29</c:v>
                </c:pt>
                <c:pt idx="66">
                  <c:v>20.93</c:v>
                </c:pt>
                <c:pt idx="67">
                  <c:v>42.38</c:v>
                </c:pt>
                <c:pt idx="68">
                  <c:v>44.95</c:v>
                </c:pt>
                <c:pt idx="69">
                  <c:v>29.5</c:v>
                </c:pt>
                <c:pt idx="70">
                  <c:v>11.12</c:v>
                </c:pt>
                <c:pt idx="71">
                  <c:v>2.71</c:v>
                </c:pt>
                <c:pt idx="72">
                  <c:v>7.46</c:v>
                </c:pt>
                <c:pt idx="73">
                  <c:v>12.85</c:v>
                </c:pt>
                <c:pt idx="74">
                  <c:v>13.16</c:v>
                </c:pt>
                <c:pt idx="75">
                  <c:v>8.76</c:v>
                </c:pt>
                <c:pt idx="76">
                  <c:v>3.19</c:v>
                </c:pt>
                <c:pt idx="77">
                  <c:v>1.1499999999999999</c:v>
                </c:pt>
                <c:pt idx="78">
                  <c:v>2.99</c:v>
                </c:pt>
                <c:pt idx="79">
                  <c:v>5.31</c:v>
                </c:pt>
                <c:pt idx="80">
                  <c:v>5.7809999999999997</c:v>
                </c:pt>
                <c:pt idx="81">
                  <c:v>3.9910000000000001</c:v>
                </c:pt>
                <c:pt idx="82">
                  <c:v>2.198</c:v>
                </c:pt>
                <c:pt idx="83">
                  <c:v>0.91500000000000004</c:v>
                </c:pt>
                <c:pt idx="84">
                  <c:v>1.3049999999999999</c:v>
                </c:pt>
                <c:pt idx="85">
                  <c:v>3.3860000000000001</c:v>
                </c:pt>
                <c:pt idx="86">
                  <c:v>6.3470000000000004</c:v>
                </c:pt>
                <c:pt idx="87">
                  <c:v>8.048</c:v>
                </c:pt>
                <c:pt idx="88">
                  <c:v>7.0060000000000002</c:v>
                </c:pt>
                <c:pt idx="89">
                  <c:v>3.468</c:v>
                </c:pt>
                <c:pt idx="90">
                  <c:v>0.71099999999999997</c:v>
                </c:pt>
                <c:pt idx="91">
                  <c:v>3.758</c:v>
                </c:pt>
                <c:pt idx="92">
                  <c:v>6.2830000000000004</c:v>
                </c:pt>
                <c:pt idx="93">
                  <c:v>7.5579999999999998</c:v>
                </c:pt>
                <c:pt idx="94">
                  <c:v>6.0839999999999996</c:v>
                </c:pt>
                <c:pt idx="95">
                  <c:v>2.681</c:v>
                </c:pt>
                <c:pt idx="96">
                  <c:v>1.038</c:v>
                </c:pt>
                <c:pt idx="97">
                  <c:v>0.79100000000000004</c:v>
                </c:pt>
                <c:pt idx="98">
                  <c:v>2.242</c:v>
                </c:pt>
                <c:pt idx="99">
                  <c:v>3.6230000000000002</c:v>
                </c:pt>
                <c:pt idx="100">
                  <c:v>3.6320000000000001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F0-4A55-B3CD-852176E3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7440"/>
        <c:axId val="1721170800"/>
      </c:lineChart>
      <c:catAx>
        <c:axId val="172116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位置</a:t>
                </a:r>
                <a:r>
                  <a:rPr lang="en-US" altLang="zh-TW"/>
                  <a:t>(mm)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170800"/>
        <c:crosses val="autoZero"/>
        <c:auto val="1"/>
        <c:lblAlgn val="ctr"/>
        <c:lblOffset val="100"/>
        <c:noMultiLvlLbl val="0"/>
      </c:catAx>
      <c:valAx>
        <c:axId val="17211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照度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1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第二次實驗</a:t>
            </a:r>
          </a:p>
        </c:rich>
      </c:tx>
      <c:layout>
        <c:manualLayout>
          <c:xMode val="edge"/>
          <c:yMode val="edge"/>
          <c:x val="0.46812377714010628"/>
          <c:y val="2.5399881467219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實驗數據!$Q$7</c:f>
              <c:strCache>
                <c:ptCount val="1"/>
                <c:pt idx="0">
                  <c:v>照度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2-88D4-41C5-AFF7-73A93556BA79}"/>
                </c:ext>
              </c:extLst>
            </c:dLbl>
            <c:dLbl>
              <c:idx val="28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88D4-41C5-AFF7-73A93556BA79}"/>
                </c:ext>
              </c:extLst>
            </c:dLbl>
            <c:dLbl>
              <c:idx val="30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4-88D4-41C5-AFF7-73A93556BA79}"/>
                </c:ext>
              </c:extLst>
            </c:dLbl>
            <c:dLbl>
              <c:idx val="37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88D4-41C5-AFF7-73A93556BA79}"/>
                </c:ext>
              </c:extLst>
            </c:dLbl>
            <c:dLbl>
              <c:idx val="43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88D4-41C5-AFF7-73A93556BA79}"/>
                </c:ext>
              </c:extLst>
            </c:dLbl>
            <c:dLbl>
              <c:idx val="49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88D4-41C5-AFF7-73A93556BA79}"/>
                </c:ext>
              </c:extLst>
            </c:dLbl>
            <c:dLbl>
              <c:idx val="55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D-88D4-41C5-AFF7-73A93556BA79}"/>
                </c:ext>
              </c:extLst>
            </c:dLbl>
            <c:dLbl>
              <c:idx val="62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E-88D4-41C5-AFF7-73A93556BA79}"/>
                </c:ext>
              </c:extLst>
            </c:dLbl>
            <c:dLbl>
              <c:idx val="68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F-88D4-41C5-AFF7-73A93556BA79}"/>
                </c:ext>
              </c:extLst>
            </c:dLbl>
            <c:dLbl>
              <c:idx val="73"/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0-88D4-41C5-AFF7-73A93556BA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(實驗數據!$R$8:$R$57,實驗數據!$T$8:$T$57)</c:f>
              <c:numCache>
                <c:formatCode>0.0</c:formatCode>
                <c:ptCount val="100"/>
                <c:pt idx="0">
                  <c:v>-10</c:v>
                </c:pt>
                <c:pt idx="1">
                  <c:v>-9.8000000000000007</c:v>
                </c:pt>
                <c:pt idx="2">
                  <c:v>-9.6000000000000014</c:v>
                </c:pt>
                <c:pt idx="3">
                  <c:v>-9.4000000000000021</c:v>
                </c:pt>
                <c:pt idx="4">
                  <c:v>-9.2000000000000028</c:v>
                </c:pt>
                <c:pt idx="5">
                  <c:v>-9.0000000000000036</c:v>
                </c:pt>
                <c:pt idx="6">
                  <c:v>-8.8000000000000043</c:v>
                </c:pt>
                <c:pt idx="7">
                  <c:v>-8.600000000000005</c:v>
                </c:pt>
                <c:pt idx="8">
                  <c:v>-8.4000000000000057</c:v>
                </c:pt>
                <c:pt idx="9">
                  <c:v>-8.2000000000000064</c:v>
                </c:pt>
                <c:pt idx="10">
                  <c:v>-8.0000000000000071</c:v>
                </c:pt>
                <c:pt idx="11">
                  <c:v>-7.8000000000000069</c:v>
                </c:pt>
                <c:pt idx="12">
                  <c:v>-7.6000000000000068</c:v>
                </c:pt>
                <c:pt idx="13">
                  <c:v>-7.4000000000000066</c:v>
                </c:pt>
                <c:pt idx="14">
                  <c:v>-7.2000000000000064</c:v>
                </c:pt>
                <c:pt idx="15">
                  <c:v>-7.0000000000000062</c:v>
                </c:pt>
                <c:pt idx="16">
                  <c:v>-6.800000000000006</c:v>
                </c:pt>
                <c:pt idx="17">
                  <c:v>-6.6000000000000059</c:v>
                </c:pt>
                <c:pt idx="18">
                  <c:v>-6.4000000000000057</c:v>
                </c:pt>
                <c:pt idx="19">
                  <c:v>-6.2000000000000055</c:v>
                </c:pt>
                <c:pt idx="20">
                  <c:v>-6.0000000000000053</c:v>
                </c:pt>
                <c:pt idx="21">
                  <c:v>-5.8000000000000052</c:v>
                </c:pt>
                <c:pt idx="22">
                  <c:v>-5.600000000000005</c:v>
                </c:pt>
                <c:pt idx="23">
                  <c:v>-5.4000000000000048</c:v>
                </c:pt>
                <c:pt idx="24">
                  <c:v>-5.2000000000000046</c:v>
                </c:pt>
                <c:pt idx="25">
                  <c:v>-5.0000000000000044</c:v>
                </c:pt>
                <c:pt idx="26">
                  <c:v>-4.8000000000000043</c:v>
                </c:pt>
                <c:pt idx="27">
                  <c:v>-4.6000000000000041</c:v>
                </c:pt>
                <c:pt idx="28">
                  <c:v>-4.4000000000000039</c:v>
                </c:pt>
                <c:pt idx="29">
                  <c:v>-4.2000000000000037</c:v>
                </c:pt>
                <c:pt idx="30">
                  <c:v>-4.0000000000000036</c:v>
                </c:pt>
                <c:pt idx="31">
                  <c:v>-3.8000000000000034</c:v>
                </c:pt>
                <c:pt idx="32">
                  <c:v>-3.6000000000000032</c:v>
                </c:pt>
                <c:pt idx="33">
                  <c:v>-3.400000000000003</c:v>
                </c:pt>
                <c:pt idx="34">
                  <c:v>-3.2000000000000028</c:v>
                </c:pt>
                <c:pt idx="35">
                  <c:v>-3.0000000000000027</c:v>
                </c:pt>
                <c:pt idx="36">
                  <c:v>-2.8000000000000025</c:v>
                </c:pt>
                <c:pt idx="37">
                  <c:v>-2.6000000000000023</c:v>
                </c:pt>
                <c:pt idx="38">
                  <c:v>-2.4000000000000021</c:v>
                </c:pt>
                <c:pt idx="39">
                  <c:v>-2.200000000000002</c:v>
                </c:pt>
                <c:pt idx="40">
                  <c:v>-2.0000000000000018</c:v>
                </c:pt>
                <c:pt idx="41">
                  <c:v>-1.8000000000000018</c:v>
                </c:pt>
                <c:pt idx="42">
                  <c:v>-1.6000000000000019</c:v>
                </c:pt>
                <c:pt idx="43">
                  <c:v>-1.4000000000000019</c:v>
                </c:pt>
                <c:pt idx="44">
                  <c:v>-1.200000000000002</c:v>
                </c:pt>
                <c:pt idx="45">
                  <c:v>-1.000000000000002</c:v>
                </c:pt>
                <c:pt idx="46">
                  <c:v>-0.80000000000000204</c:v>
                </c:pt>
                <c:pt idx="47">
                  <c:v>-0.60000000000000209</c:v>
                </c:pt>
                <c:pt idx="48">
                  <c:v>-0.40000000000000208</c:v>
                </c:pt>
                <c:pt idx="49">
                  <c:v>-0.20000000000000207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0.60000000000000009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1.5999999999999999</c:v>
                </c:pt>
                <c:pt idx="59">
                  <c:v>1.7999999999999998</c:v>
                </c:pt>
                <c:pt idx="60">
                  <c:v>1.9999999999999998</c:v>
                </c:pt>
                <c:pt idx="61">
                  <c:v>2.1999999999999997</c:v>
                </c:pt>
                <c:pt idx="62">
                  <c:v>2.4</c:v>
                </c:pt>
                <c:pt idx="63">
                  <c:v>2.6</c:v>
                </c:pt>
                <c:pt idx="64">
                  <c:v>2.8000000000000003</c:v>
                </c:pt>
                <c:pt idx="65">
                  <c:v>3.0000000000000004</c:v>
                </c:pt>
                <c:pt idx="66">
                  <c:v>3.2000000000000006</c:v>
                </c:pt>
                <c:pt idx="67">
                  <c:v>3.4000000000000008</c:v>
                </c:pt>
                <c:pt idx="68">
                  <c:v>3.600000000000001</c:v>
                </c:pt>
                <c:pt idx="69">
                  <c:v>3.8000000000000012</c:v>
                </c:pt>
                <c:pt idx="70">
                  <c:v>4.0000000000000009</c:v>
                </c:pt>
                <c:pt idx="71">
                  <c:v>4.2000000000000011</c:v>
                </c:pt>
                <c:pt idx="72">
                  <c:v>4.4000000000000012</c:v>
                </c:pt>
                <c:pt idx="73">
                  <c:v>4.6000000000000014</c:v>
                </c:pt>
                <c:pt idx="74">
                  <c:v>4.8000000000000016</c:v>
                </c:pt>
                <c:pt idx="75">
                  <c:v>5.0000000000000018</c:v>
                </c:pt>
                <c:pt idx="76">
                  <c:v>5.200000000000002</c:v>
                </c:pt>
                <c:pt idx="77">
                  <c:v>5.4000000000000021</c:v>
                </c:pt>
                <c:pt idx="78">
                  <c:v>5.6000000000000023</c:v>
                </c:pt>
                <c:pt idx="79">
                  <c:v>5.8000000000000025</c:v>
                </c:pt>
                <c:pt idx="80">
                  <c:v>6.0000000000000027</c:v>
                </c:pt>
                <c:pt idx="81">
                  <c:v>6.2000000000000028</c:v>
                </c:pt>
                <c:pt idx="82">
                  <c:v>6.400000000000003</c:v>
                </c:pt>
                <c:pt idx="83">
                  <c:v>6.6000000000000032</c:v>
                </c:pt>
                <c:pt idx="84">
                  <c:v>6.8000000000000034</c:v>
                </c:pt>
                <c:pt idx="85">
                  <c:v>7.0000000000000036</c:v>
                </c:pt>
                <c:pt idx="86">
                  <c:v>7.2000000000000037</c:v>
                </c:pt>
                <c:pt idx="87">
                  <c:v>7.4000000000000039</c:v>
                </c:pt>
                <c:pt idx="88">
                  <c:v>7.6000000000000041</c:v>
                </c:pt>
                <c:pt idx="89">
                  <c:v>7.8000000000000043</c:v>
                </c:pt>
                <c:pt idx="90">
                  <c:v>8.0000000000000036</c:v>
                </c:pt>
                <c:pt idx="91">
                  <c:v>8.2000000000000028</c:v>
                </c:pt>
                <c:pt idx="92">
                  <c:v>8.4000000000000021</c:v>
                </c:pt>
                <c:pt idx="93">
                  <c:v>8.6000000000000014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9.3999999999999986</c:v>
                </c:pt>
                <c:pt idx="98">
                  <c:v>9.5999999999999979</c:v>
                </c:pt>
                <c:pt idx="99">
                  <c:v>9.7999999999999972</c:v>
                </c:pt>
              </c:numCache>
            </c:numRef>
          </c:cat>
          <c:val>
            <c:numRef>
              <c:f>(實驗數據!$S$8:$S$57,實驗數據!$U$8:$U$57,實驗數據!$W$8)</c:f>
              <c:numCache>
                <c:formatCode>0.0</c:formatCode>
                <c:ptCount val="101"/>
                <c:pt idx="0">
                  <c:v>1.3480000000000001</c:v>
                </c:pt>
                <c:pt idx="1">
                  <c:v>0.53800000000000003</c:v>
                </c:pt>
                <c:pt idx="2">
                  <c:v>0.85099999999999998</c:v>
                </c:pt>
                <c:pt idx="3">
                  <c:v>2.2599999999999998</c:v>
                </c:pt>
                <c:pt idx="4">
                  <c:v>4.8099999999999996</c:v>
                </c:pt>
                <c:pt idx="5">
                  <c:v>4.9390000000000001</c:v>
                </c:pt>
                <c:pt idx="6">
                  <c:v>2.91</c:v>
                </c:pt>
                <c:pt idx="7">
                  <c:v>0.76200000000000001</c:v>
                </c:pt>
                <c:pt idx="8">
                  <c:v>0.60899999999999999</c:v>
                </c:pt>
                <c:pt idx="9">
                  <c:v>2.476</c:v>
                </c:pt>
                <c:pt idx="10">
                  <c:v>4.7649999999999997</c:v>
                </c:pt>
                <c:pt idx="11">
                  <c:v>5.1100000000000003</c:v>
                </c:pt>
                <c:pt idx="12">
                  <c:v>3.4489999999999998</c:v>
                </c:pt>
                <c:pt idx="13">
                  <c:v>1.272</c:v>
                </c:pt>
                <c:pt idx="14">
                  <c:v>0.59199999999999997</c:v>
                </c:pt>
                <c:pt idx="15">
                  <c:v>1.714</c:v>
                </c:pt>
                <c:pt idx="16">
                  <c:v>2.9329999999999998</c:v>
                </c:pt>
                <c:pt idx="17">
                  <c:v>3.0539999999999998</c:v>
                </c:pt>
                <c:pt idx="18">
                  <c:v>1.855</c:v>
                </c:pt>
                <c:pt idx="19">
                  <c:v>0.51500000000000001</c:v>
                </c:pt>
                <c:pt idx="20">
                  <c:v>0.42</c:v>
                </c:pt>
                <c:pt idx="21">
                  <c:v>1.532</c:v>
                </c:pt>
                <c:pt idx="22">
                  <c:v>3.1459999999999999</c:v>
                </c:pt>
                <c:pt idx="23">
                  <c:v>5.2450000000000001</c:v>
                </c:pt>
                <c:pt idx="24">
                  <c:v>5.4710000000000001</c:v>
                </c:pt>
                <c:pt idx="25">
                  <c:v>3.8759999999999999</c:v>
                </c:pt>
                <c:pt idx="26">
                  <c:v>1.641</c:v>
                </c:pt>
                <c:pt idx="27">
                  <c:v>1.5</c:v>
                </c:pt>
                <c:pt idx="28">
                  <c:v>6.8129999999999997</c:v>
                </c:pt>
                <c:pt idx="29">
                  <c:v>1.8120000000000001</c:v>
                </c:pt>
                <c:pt idx="30">
                  <c:v>25.55</c:v>
                </c:pt>
                <c:pt idx="31">
                  <c:v>22.92</c:v>
                </c:pt>
                <c:pt idx="32">
                  <c:v>9.2899999999999991</c:v>
                </c:pt>
                <c:pt idx="33">
                  <c:v>2.4300000000000002</c:v>
                </c:pt>
                <c:pt idx="34">
                  <c:v>11.04</c:v>
                </c:pt>
                <c:pt idx="35">
                  <c:v>29.34</c:v>
                </c:pt>
                <c:pt idx="36">
                  <c:v>58.19</c:v>
                </c:pt>
                <c:pt idx="37">
                  <c:v>62.61</c:v>
                </c:pt>
                <c:pt idx="38">
                  <c:v>43.81</c:v>
                </c:pt>
                <c:pt idx="39">
                  <c:v>9.48</c:v>
                </c:pt>
                <c:pt idx="40">
                  <c:v>12.17</c:v>
                </c:pt>
                <c:pt idx="41">
                  <c:v>55.41</c:v>
                </c:pt>
                <c:pt idx="42">
                  <c:v>101.84</c:v>
                </c:pt>
                <c:pt idx="43">
                  <c:v>118.65</c:v>
                </c:pt>
                <c:pt idx="44">
                  <c:v>84.94</c:v>
                </c:pt>
                <c:pt idx="45">
                  <c:v>22.51</c:v>
                </c:pt>
                <c:pt idx="46">
                  <c:v>9.02</c:v>
                </c:pt>
                <c:pt idx="47">
                  <c:v>45.55</c:v>
                </c:pt>
                <c:pt idx="48">
                  <c:v>127.1</c:v>
                </c:pt>
                <c:pt idx="49">
                  <c:v>155.04</c:v>
                </c:pt>
                <c:pt idx="50">
                  <c:v>129.6</c:v>
                </c:pt>
                <c:pt idx="51">
                  <c:v>45.11</c:v>
                </c:pt>
                <c:pt idx="52">
                  <c:v>9.8800000000000008</c:v>
                </c:pt>
                <c:pt idx="53">
                  <c:v>40.32</c:v>
                </c:pt>
                <c:pt idx="54">
                  <c:v>97.1</c:v>
                </c:pt>
                <c:pt idx="55">
                  <c:v>142.58000000000001</c:v>
                </c:pt>
                <c:pt idx="56">
                  <c:v>125.29</c:v>
                </c:pt>
                <c:pt idx="57">
                  <c:v>85.88</c:v>
                </c:pt>
                <c:pt idx="58">
                  <c:v>20.74</c:v>
                </c:pt>
                <c:pt idx="59">
                  <c:v>10.9</c:v>
                </c:pt>
                <c:pt idx="60">
                  <c:v>56.74</c:v>
                </c:pt>
                <c:pt idx="61">
                  <c:v>94.48</c:v>
                </c:pt>
                <c:pt idx="62">
                  <c:v>101.82</c:v>
                </c:pt>
                <c:pt idx="63">
                  <c:v>75.98</c:v>
                </c:pt>
                <c:pt idx="64">
                  <c:v>23.41</c:v>
                </c:pt>
                <c:pt idx="65">
                  <c:v>4.3499999999999996</c:v>
                </c:pt>
                <c:pt idx="66">
                  <c:v>23.88</c:v>
                </c:pt>
                <c:pt idx="67">
                  <c:v>40.04</c:v>
                </c:pt>
                <c:pt idx="68">
                  <c:v>43.83</c:v>
                </c:pt>
                <c:pt idx="69">
                  <c:v>27.49</c:v>
                </c:pt>
                <c:pt idx="70">
                  <c:v>9.36</c:v>
                </c:pt>
                <c:pt idx="71">
                  <c:v>2.71</c:v>
                </c:pt>
                <c:pt idx="72">
                  <c:v>8.81</c:v>
                </c:pt>
                <c:pt idx="73">
                  <c:v>13.35</c:v>
                </c:pt>
                <c:pt idx="74">
                  <c:v>12.73</c:v>
                </c:pt>
                <c:pt idx="75">
                  <c:v>6.4</c:v>
                </c:pt>
                <c:pt idx="76">
                  <c:v>2.12</c:v>
                </c:pt>
                <c:pt idx="77">
                  <c:v>1.26</c:v>
                </c:pt>
                <c:pt idx="78">
                  <c:v>3.17</c:v>
                </c:pt>
                <c:pt idx="79">
                  <c:v>5.28</c:v>
                </c:pt>
                <c:pt idx="80">
                  <c:v>5.55</c:v>
                </c:pt>
                <c:pt idx="81">
                  <c:v>3.61</c:v>
                </c:pt>
                <c:pt idx="82">
                  <c:v>2.121</c:v>
                </c:pt>
                <c:pt idx="83">
                  <c:v>0.998</c:v>
                </c:pt>
                <c:pt idx="84">
                  <c:v>1.3859999999999999</c:v>
                </c:pt>
                <c:pt idx="85">
                  <c:v>3.9489999999999998</c:v>
                </c:pt>
                <c:pt idx="86">
                  <c:v>6.65</c:v>
                </c:pt>
                <c:pt idx="87">
                  <c:v>7.8520000000000003</c:v>
                </c:pt>
                <c:pt idx="88">
                  <c:v>6.1539999999999999</c:v>
                </c:pt>
                <c:pt idx="89">
                  <c:v>3.2040000000000002</c:v>
                </c:pt>
                <c:pt idx="90">
                  <c:v>0.83199999999999996</c:v>
                </c:pt>
                <c:pt idx="91">
                  <c:v>1.173</c:v>
                </c:pt>
                <c:pt idx="92">
                  <c:v>4.6509999999999998</c:v>
                </c:pt>
                <c:pt idx="93">
                  <c:v>7.3010000000000002</c:v>
                </c:pt>
                <c:pt idx="94">
                  <c:v>6.9991000000000003</c:v>
                </c:pt>
                <c:pt idx="95">
                  <c:v>4.2190000000000003</c:v>
                </c:pt>
                <c:pt idx="96">
                  <c:v>1.1180000000000001</c:v>
                </c:pt>
                <c:pt idx="97">
                  <c:v>0.84299999999999997</c:v>
                </c:pt>
                <c:pt idx="98">
                  <c:v>2.254</c:v>
                </c:pt>
                <c:pt idx="99">
                  <c:v>3.5609999999999999</c:v>
                </c:pt>
                <c:pt idx="100">
                  <c:v>4.0149999999999997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D4-41C5-AFF7-73A93556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178496"/>
        <c:axId val="553177536"/>
      </c:lineChart>
      <c:catAx>
        <c:axId val="55317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位置</a:t>
                </a:r>
                <a:r>
                  <a:rPr lang="en-US" altLang="zh-TW"/>
                  <a:t>(mm)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177536"/>
        <c:crosses val="autoZero"/>
        <c:auto val="1"/>
        <c:lblAlgn val="ctr"/>
        <c:lblOffset val="100"/>
        <c:noMultiLvlLbl val="0"/>
      </c:catAx>
      <c:valAx>
        <c:axId val="5531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照度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1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274973</xdr:colOff>
      <xdr:row>58</xdr:row>
      <xdr:rowOff>204382</xdr:rowOff>
    </xdr:from>
    <xdr:to>
      <xdr:col>12</xdr:col>
      <xdr:colOff>566058</xdr:colOff>
      <xdr:row>71</xdr:row>
      <xdr:rowOff>38100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D995478-5695-F95C-9CD6-FCC3E75BC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421307</xdr:colOff>
      <xdr:row>59</xdr:row>
      <xdr:rowOff>51585</xdr:rowOff>
    </xdr:from>
    <xdr:to>
      <xdr:col>23</xdr:col>
      <xdr:colOff>268129</xdr:colOff>
      <xdr:row>76</xdr:row>
      <xdr:rowOff>101570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183C5FE3-276D-BCAF-E31A-ADE13CED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78</xdr:row>
      <xdr:rowOff>0</xdr:rowOff>
    </xdr:from>
    <xdr:to>
      <xdr:col>12</xdr:col>
      <xdr:colOff>653143</xdr:colOff>
      <xdr:row>93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21056CE-DDC1-453A-8040-3F1220424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32657</xdr:colOff>
      <xdr:row>79</xdr:row>
      <xdr:rowOff>43542</xdr:rowOff>
    </xdr:from>
    <xdr:to>
      <xdr:col>23</xdr:col>
      <xdr:colOff>130628</xdr:colOff>
      <xdr:row>93</xdr:row>
      <xdr:rowOff>163286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458D649-010C-4263-BA8D-0DFA64A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topLeftCell="C103" zoomScaleNormal="100" workbookViewId="0">
      <selection activeCell="N117" sqref="N117:S126"/>
    </sheetView>
  </sheetViews>
  <sheetFormatPr defaultColWidth="11.19921875" defaultRowHeight="15" customHeight="1"/>
  <cols>
    <col min="1" max="4" width="7.59765625" customWidth="1"/>
    <col min="5" max="5" width="9.09765625" customWidth="1"/>
    <col min="6" max="6" width="7.19921875" customWidth="1"/>
    <col min="7" max="7" width="8.8984375" customWidth="1"/>
    <col min="8" max="8" width="10.8984375" customWidth="1"/>
    <col min="9" max="9" width="9.09765625" customWidth="1"/>
    <col min="10" max="10" width="9.796875" customWidth="1"/>
    <col min="11" max="11" width="8.59765625" customWidth="1"/>
    <col min="12" max="12" width="9.59765625" customWidth="1"/>
    <col min="13" max="14" width="8.8984375" customWidth="1"/>
    <col min="15" max="15" width="7.59765625" customWidth="1"/>
    <col min="16" max="16" width="8.8984375" customWidth="1"/>
    <col min="17" max="17" width="10" customWidth="1"/>
    <col min="18" max="18" width="10.3984375" customWidth="1"/>
    <col min="19" max="19" width="9.8984375" customWidth="1"/>
    <col min="20" max="20" width="9.3984375" customWidth="1"/>
    <col min="21" max="21" width="9.796875" customWidth="1"/>
    <col min="22" max="22" width="10.296875" customWidth="1"/>
    <col min="23" max="23" width="9.3984375" customWidth="1"/>
    <col min="24" max="41" width="7.59765625" customWidth="1"/>
  </cols>
  <sheetData>
    <row r="1" spans="1:43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3" ht="18" customHeight="1">
      <c r="A2" s="1"/>
      <c r="B2" s="1"/>
      <c r="C2" s="1"/>
      <c r="D2" s="1"/>
      <c r="E2" s="1"/>
      <c r="F2" s="1"/>
      <c r="G2" s="2" t="s">
        <v>0</v>
      </c>
      <c r="H2" s="1"/>
      <c r="I2" s="1"/>
      <c r="J2" s="1"/>
      <c r="K2" s="1"/>
      <c r="L2" s="1"/>
      <c r="M2" s="1"/>
      <c r="N2" s="1"/>
      <c r="O2" s="1"/>
      <c r="P2" s="2" t="s">
        <v>1</v>
      </c>
      <c r="Q2" s="1"/>
      <c r="R2" s="1"/>
      <c r="S2" s="1"/>
      <c r="T2" s="1"/>
      <c r="U2" s="1"/>
      <c r="V2" s="1"/>
      <c r="W2" s="1"/>
      <c r="X2" s="1"/>
      <c r="AQ2" s="3"/>
    </row>
    <row r="3" spans="1:43" ht="18" customHeight="1" thickBot="1">
      <c r="A3" s="1"/>
      <c r="B3" s="1"/>
      <c r="C3" s="1"/>
      <c r="D3" s="1"/>
      <c r="E3" s="1"/>
      <c r="F3" s="1"/>
      <c r="G3" s="2" t="s">
        <v>2</v>
      </c>
      <c r="H3" s="1"/>
      <c r="I3" s="1"/>
      <c r="J3" s="1"/>
      <c r="K3" s="1"/>
      <c r="L3" s="1"/>
      <c r="M3" s="1"/>
      <c r="N3" s="1"/>
      <c r="O3" s="1"/>
      <c r="P3" s="2" t="s">
        <v>2</v>
      </c>
      <c r="Q3" s="1"/>
      <c r="R3" s="1"/>
      <c r="S3" s="1"/>
      <c r="T3" s="1"/>
      <c r="U3" s="1"/>
      <c r="V3" s="1"/>
      <c r="W3" s="1"/>
      <c r="X3" s="1"/>
      <c r="AQ3" s="3"/>
    </row>
    <row r="4" spans="1:43" ht="18" customHeight="1" thickTop="1">
      <c r="A4" s="1"/>
      <c r="B4" s="1"/>
      <c r="C4" s="1"/>
      <c r="D4" s="1"/>
      <c r="E4" s="1"/>
      <c r="F4" s="1"/>
      <c r="G4" s="96" t="s">
        <v>3</v>
      </c>
      <c r="H4" s="93"/>
      <c r="I4" s="92" t="s">
        <v>4</v>
      </c>
      <c r="J4" s="93"/>
      <c r="K4" s="92" t="s">
        <v>5</v>
      </c>
      <c r="L4" s="93"/>
      <c r="M4" s="92" t="s">
        <v>6</v>
      </c>
      <c r="N4" s="95"/>
      <c r="O4" s="1"/>
      <c r="P4" s="96" t="s">
        <v>3</v>
      </c>
      <c r="Q4" s="93"/>
      <c r="R4" s="92" t="s">
        <v>4</v>
      </c>
      <c r="S4" s="93"/>
      <c r="T4" s="92" t="s">
        <v>5</v>
      </c>
      <c r="U4" s="93"/>
      <c r="V4" s="92" t="s">
        <v>7</v>
      </c>
      <c r="W4" s="95"/>
      <c r="X4" s="1"/>
      <c r="AQ4" s="3"/>
    </row>
    <row r="5" spans="1:43" ht="18" customHeight="1">
      <c r="A5" s="1"/>
      <c r="B5" s="1"/>
      <c r="C5" s="1"/>
      <c r="D5" s="1"/>
      <c r="E5" s="1"/>
      <c r="F5" s="1"/>
      <c r="G5" s="79"/>
      <c r="H5" s="81"/>
      <c r="I5" s="94"/>
      <c r="J5" s="81"/>
      <c r="K5" s="94"/>
      <c r="L5" s="81"/>
      <c r="M5" s="94"/>
      <c r="N5" s="51"/>
      <c r="O5" s="1"/>
      <c r="P5" s="79"/>
      <c r="Q5" s="81"/>
      <c r="R5" s="94"/>
      <c r="S5" s="81"/>
      <c r="T5" s="94"/>
      <c r="U5" s="81"/>
      <c r="V5" s="94"/>
      <c r="W5" s="51"/>
      <c r="X5" s="1"/>
      <c r="AQ5" s="3"/>
    </row>
    <row r="6" spans="1:43" ht="18" customHeight="1" thickBot="1">
      <c r="A6" s="1"/>
      <c r="B6" s="1"/>
      <c r="C6" s="1"/>
      <c r="D6" s="1"/>
      <c r="E6" s="1"/>
      <c r="F6" s="1"/>
      <c r="G6" s="89">
        <v>500</v>
      </c>
      <c r="H6" s="90"/>
      <c r="I6" s="91">
        <v>0.05</v>
      </c>
      <c r="J6" s="90"/>
      <c r="K6" s="91">
        <v>0.25</v>
      </c>
      <c r="L6" s="90"/>
      <c r="M6" s="97">
        <v>6.3500000000000004E-4</v>
      </c>
      <c r="N6" s="53"/>
      <c r="O6" s="1"/>
      <c r="P6" s="89">
        <v>500</v>
      </c>
      <c r="Q6" s="90"/>
      <c r="R6" s="91">
        <v>0.05</v>
      </c>
      <c r="S6" s="90"/>
      <c r="T6" s="91">
        <v>0.25</v>
      </c>
      <c r="U6" s="90"/>
      <c r="V6" s="97">
        <v>6.3500000000000004E-4</v>
      </c>
      <c r="W6" s="53"/>
      <c r="X6" s="1"/>
      <c r="AQ6" s="3"/>
    </row>
    <row r="7" spans="1:43" ht="18" customHeight="1" thickTop="1">
      <c r="A7" s="1"/>
      <c r="B7" s="1"/>
      <c r="C7" s="1"/>
      <c r="D7" s="1"/>
      <c r="E7" s="1"/>
      <c r="F7" s="1"/>
      <c r="G7" s="36" t="s">
        <v>8</v>
      </c>
      <c r="H7" s="5" t="s">
        <v>59</v>
      </c>
      <c r="I7" s="5" t="s">
        <v>8</v>
      </c>
      <c r="J7" s="5" t="s">
        <v>59</v>
      </c>
      <c r="K7" s="5" t="s">
        <v>8</v>
      </c>
      <c r="L7" s="5" t="s">
        <v>59</v>
      </c>
      <c r="M7" s="5" t="s">
        <v>8</v>
      </c>
      <c r="N7" s="5" t="s">
        <v>59</v>
      </c>
      <c r="O7" s="37"/>
      <c r="P7" s="4" t="s">
        <v>8</v>
      </c>
      <c r="Q7" s="5" t="s">
        <v>59</v>
      </c>
      <c r="R7" s="5" t="s">
        <v>61</v>
      </c>
      <c r="S7" s="5" t="s">
        <v>59</v>
      </c>
      <c r="T7" s="5" t="s">
        <v>8</v>
      </c>
      <c r="U7" s="5" t="s">
        <v>59</v>
      </c>
      <c r="V7" s="5" t="s">
        <v>8</v>
      </c>
      <c r="W7" s="5" t="s">
        <v>59</v>
      </c>
      <c r="X7" s="1"/>
      <c r="AQ7" s="3"/>
    </row>
    <row r="8" spans="1:43" ht="18" customHeight="1">
      <c r="A8" s="1"/>
      <c r="B8" s="1"/>
      <c r="C8" s="1"/>
      <c r="D8" s="1"/>
      <c r="E8" s="1"/>
      <c r="F8" s="1"/>
      <c r="G8" s="6">
        <v>-20</v>
      </c>
      <c r="H8" s="7">
        <v>0.78800000000000003</v>
      </c>
      <c r="I8" s="8">
        <v>-10</v>
      </c>
      <c r="J8" s="7">
        <v>1.8320000000000001</v>
      </c>
      <c r="K8" s="8">
        <v>0</v>
      </c>
      <c r="L8" s="7">
        <v>130.46</v>
      </c>
      <c r="M8" s="9">
        <v>10</v>
      </c>
      <c r="N8" s="10">
        <v>3.6320000000000001</v>
      </c>
      <c r="O8" s="1"/>
      <c r="P8" s="6">
        <v>-20</v>
      </c>
      <c r="Q8" s="7">
        <v>0.67200000000000004</v>
      </c>
      <c r="R8" s="8">
        <v>-10</v>
      </c>
      <c r="S8" s="7">
        <v>1.3480000000000001</v>
      </c>
      <c r="T8" s="8">
        <v>0</v>
      </c>
      <c r="U8" s="7">
        <v>129.6</v>
      </c>
      <c r="V8" s="9">
        <v>10</v>
      </c>
      <c r="W8" s="10">
        <v>4.0149999999999997</v>
      </c>
      <c r="X8" s="1"/>
      <c r="AQ8" s="3"/>
    </row>
    <row r="9" spans="1:43" ht="18" customHeight="1">
      <c r="A9" s="1"/>
      <c r="B9" s="1"/>
      <c r="C9" s="1"/>
      <c r="D9" s="1"/>
      <c r="E9" s="1"/>
      <c r="F9" s="1"/>
      <c r="G9" s="6">
        <f t="shared" ref="G9:G57" si="0">G8 + 0.2</f>
        <v>-19.8</v>
      </c>
      <c r="H9" s="7">
        <v>0.72099999999999997</v>
      </c>
      <c r="I9" s="8">
        <f t="shared" ref="I9:I57" si="1">I8 + 0.2</f>
        <v>-9.8000000000000007</v>
      </c>
      <c r="J9" s="7">
        <v>0.66800000000000004</v>
      </c>
      <c r="K9" s="8">
        <f t="shared" ref="K9:K57" si="2">K8 + 0.2</f>
        <v>0.2</v>
      </c>
      <c r="L9" s="7">
        <v>34.17</v>
      </c>
      <c r="M9" s="8">
        <f t="shared" ref="M9:M58" si="3">M8 + 0.2</f>
        <v>10.199999999999999</v>
      </c>
      <c r="N9" s="10">
        <v>2.4049999999999998</v>
      </c>
      <c r="O9" s="1"/>
      <c r="P9" s="6">
        <f t="shared" ref="P9:P57" si="4">P8 + 0.2</f>
        <v>-19.8</v>
      </c>
      <c r="Q9" s="7">
        <v>0.61099999999999999</v>
      </c>
      <c r="R9" s="8">
        <f t="shared" ref="R9:R57" si="5">R8 + 0.2</f>
        <v>-9.8000000000000007</v>
      </c>
      <c r="S9" s="7">
        <v>0.53800000000000003</v>
      </c>
      <c r="T9" s="8">
        <f t="shared" ref="T9:T57" si="6">T8 + 0.2</f>
        <v>0.2</v>
      </c>
      <c r="U9" s="7">
        <v>45.11</v>
      </c>
      <c r="V9" s="8">
        <f t="shared" ref="V9:V58" si="7">V8 + 0.2</f>
        <v>10.199999999999999</v>
      </c>
      <c r="W9" s="10">
        <v>2.871</v>
      </c>
      <c r="X9" s="1"/>
      <c r="AQ9" s="3"/>
    </row>
    <row r="10" spans="1:43" ht="18" customHeight="1">
      <c r="A10" s="1"/>
      <c r="B10" s="1"/>
      <c r="C10" s="1"/>
      <c r="D10" s="1"/>
      <c r="E10" s="1"/>
      <c r="F10" s="1"/>
      <c r="G10" s="6">
        <f t="shared" si="0"/>
        <v>-19.600000000000001</v>
      </c>
      <c r="H10" s="7">
        <v>0.23200000000000001</v>
      </c>
      <c r="I10" s="8">
        <f t="shared" si="1"/>
        <v>-9.6000000000000014</v>
      </c>
      <c r="J10" s="7">
        <v>1.0589999999999999</v>
      </c>
      <c r="K10" s="8">
        <f t="shared" si="2"/>
        <v>0.4</v>
      </c>
      <c r="L10" s="7">
        <v>9.98</v>
      </c>
      <c r="M10" s="8">
        <f t="shared" si="3"/>
        <v>10.399999999999999</v>
      </c>
      <c r="N10" s="10">
        <v>1.4450000000000001</v>
      </c>
      <c r="O10" s="1"/>
      <c r="P10" s="6">
        <f t="shared" si="4"/>
        <v>-19.600000000000001</v>
      </c>
      <c r="Q10" s="7">
        <v>0.34799999999999998</v>
      </c>
      <c r="R10" s="8">
        <f t="shared" si="5"/>
        <v>-9.6000000000000014</v>
      </c>
      <c r="S10" s="7">
        <v>0.85099999999999998</v>
      </c>
      <c r="T10" s="8">
        <f t="shared" si="6"/>
        <v>0.4</v>
      </c>
      <c r="U10" s="7">
        <v>9.8800000000000008</v>
      </c>
      <c r="V10" s="8">
        <f t="shared" si="7"/>
        <v>10.399999999999999</v>
      </c>
      <c r="W10" s="10">
        <v>1.7</v>
      </c>
      <c r="X10" s="1"/>
      <c r="AQ10" s="3"/>
    </row>
    <row r="11" spans="1:43" ht="18" customHeight="1">
      <c r="A11" s="1"/>
      <c r="B11" s="1"/>
      <c r="C11" s="1"/>
      <c r="D11" s="1"/>
      <c r="E11" s="1"/>
      <c r="F11" s="1"/>
      <c r="G11" s="6">
        <f t="shared" si="0"/>
        <v>-19.400000000000002</v>
      </c>
      <c r="H11" s="7">
        <v>0.11600000000000001</v>
      </c>
      <c r="I11" s="8">
        <f t="shared" si="1"/>
        <v>-9.4000000000000021</v>
      </c>
      <c r="J11" s="7">
        <v>3.1150000000000002</v>
      </c>
      <c r="K11" s="8">
        <f t="shared" si="2"/>
        <v>0.60000000000000009</v>
      </c>
      <c r="L11" s="7">
        <v>22.82</v>
      </c>
      <c r="M11" s="8">
        <f t="shared" si="3"/>
        <v>10.599999999999998</v>
      </c>
      <c r="N11" s="10">
        <v>1.35</v>
      </c>
      <c r="O11" s="1"/>
      <c r="P11" s="6">
        <f t="shared" si="4"/>
        <v>-19.400000000000002</v>
      </c>
      <c r="Q11" s="7">
        <v>0.155</v>
      </c>
      <c r="R11" s="8">
        <f t="shared" si="5"/>
        <v>-9.4000000000000021</v>
      </c>
      <c r="S11" s="7">
        <v>2.2599999999999998</v>
      </c>
      <c r="T11" s="8">
        <f t="shared" si="6"/>
        <v>0.60000000000000009</v>
      </c>
      <c r="U11" s="7">
        <v>40.32</v>
      </c>
      <c r="V11" s="8">
        <f t="shared" si="7"/>
        <v>10.599999999999998</v>
      </c>
      <c r="W11" s="10">
        <v>1.337</v>
      </c>
      <c r="X11" s="1"/>
      <c r="AQ11" s="3"/>
    </row>
    <row r="12" spans="1:43" ht="18" customHeight="1">
      <c r="A12" s="1"/>
      <c r="B12" s="1"/>
      <c r="C12" s="1"/>
      <c r="D12" s="1"/>
      <c r="E12" s="1"/>
      <c r="F12" s="1"/>
      <c r="G12" s="6">
        <f t="shared" si="0"/>
        <v>-19.200000000000003</v>
      </c>
      <c r="H12" s="7">
        <v>0.34200000000000003</v>
      </c>
      <c r="I12" s="8">
        <f t="shared" si="1"/>
        <v>-9.2000000000000028</v>
      </c>
      <c r="J12" s="7">
        <v>4.9029999999999996</v>
      </c>
      <c r="K12" s="8">
        <f t="shared" si="2"/>
        <v>0.8</v>
      </c>
      <c r="L12" s="7">
        <v>78.260000000000005</v>
      </c>
      <c r="M12" s="8">
        <f t="shared" si="3"/>
        <v>10.799999999999997</v>
      </c>
      <c r="N12" s="10">
        <v>1.5289999999999999</v>
      </c>
      <c r="O12" s="1"/>
      <c r="P12" s="6">
        <f t="shared" si="4"/>
        <v>-19.200000000000003</v>
      </c>
      <c r="Q12" s="7">
        <v>0.216</v>
      </c>
      <c r="R12" s="8">
        <f t="shared" si="5"/>
        <v>-9.2000000000000028</v>
      </c>
      <c r="S12" s="7">
        <v>4.8099999999999996</v>
      </c>
      <c r="T12" s="8">
        <f t="shared" si="6"/>
        <v>0.8</v>
      </c>
      <c r="U12" s="7">
        <v>97.1</v>
      </c>
      <c r="V12" s="8">
        <f t="shared" si="7"/>
        <v>10.799999999999997</v>
      </c>
      <c r="W12" s="10">
        <v>1.55</v>
      </c>
      <c r="X12" s="1"/>
      <c r="AQ12" s="3"/>
    </row>
    <row r="13" spans="1:43" ht="18" customHeight="1">
      <c r="A13" s="1"/>
      <c r="B13" s="1"/>
      <c r="C13" s="1"/>
      <c r="D13" s="1"/>
      <c r="E13" s="1"/>
      <c r="F13" s="1"/>
      <c r="G13" s="6">
        <f t="shared" si="0"/>
        <v>-19.000000000000004</v>
      </c>
      <c r="H13" s="7">
        <v>0.58099999999999996</v>
      </c>
      <c r="I13" s="8">
        <f t="shared" si="1"/>
        <v>-9.0000000000000036</v>
      </c>
      <c r="J13" s="7">
        <v>5.0570000000000004</v>
      </c>
      <c r="K13" s="8">
        <f t="shared" si="2"/>
        <v>1</v>
      </c>
      <c r="L13" s="7">
        <v>129.81</v>
      </c>
      <c r="M13" s="8">
        <f t="shared" si="3"/>
        <v>10.999999999999996</v>
      </c>
      <c r="N13" s="10">
        <v>1.524</v>
      </c>
      <c r="O13" s="1"/>
      <c r="P13" s="6">
        <f t="shared" si="4"/>
        <v>-19.000000000000004</v>
      </c>
      <c r="Q13" s="7">
        <v>0.499</v>
      </c>
      <c r="R13" s="8">
        <f t="shared" si="5"/>
        <v>-9.0000000000000036</v>
      </c>
      <c r="S13" s="7">
        <v>4.9390000000000001</v>
      </c>
      <c r="T13" s="8">
        <f t="shared" si="6"/>
        <v>1</v>
      </c>
      <c r="U13" s="7">
        <v>142.58000000000001</v>
      </c>
      <c r="V13" s="8">
        <f t="shared" si="7"/>
        <v>10.999999999999996</v>
      </c>
      <c r="W13" s="10">
        <v>1.224</v>
      </c>
      <c r="X13" s="1"/>
      <c r="AQ13" s="3"/>
    </row>
    <row r="14" spans="1:43" ht="18" customHeight="1">
      <c r="A14" s="1"/>
      <c r="B14" s="1"/>
      <c r="C14" s="1"/>
      <c r="D14" s="1"/>
      <c r="E14" s="1"/>
      <c r="F14" s="1"/>
      <c r="G14" s="6">
        <f t="shared" si="0"/>
        <v>-18.800000000000004</v>
      </c>
      <c r="H14" s="7">
        <v>0.98299999999999998</v>
      </c>
      <c r="I14" s="8">
        <f t="shared" si="1"/>
        <v>-8.8000000000000043</v>
      </c>
      <c r="J14" s="7">
        <v>3.306</v>
      </c>
      <c r="K14" s="8">
        <f t="shared" si="2"/>
        <v>1.2</v>
      </c>
      <c r="L14" s="7">
        <v>134.06</v>
      </c>
      <c r="M14" s="8">
        <f t="shared" si="3"/>
        <v>11.199999999999996</v>
      </c>
      <c r="N14" s="10">
        <v>0.93500000000000005</v>
      </c>
      <c r="O14" s="1"/>
      <c r="P14" s="6">
        <f t="shared" si="4"/>
        <v>-18.800000000000004</v>
      </c>
      <c r="Q14" s="7">
        <v>0.82899999999999996</v>
      </c>
      <c r="R14" s="8">
        <f t="shared" si="5"/>
        <v>-8.8000000000000043</v>
      </c>
      <c r="S14" s="7">
        <v>2.91</v>
      </c>
      <c r="T14" s="8">
        <f t="shared" si="6"/>
        <v>1.2</v>
      </c>
      <c r="U14" s="7">
        <v>125.29</v>
      </c>
      <c r="V14" s="8">
        <f t="shared" si="7"/>
        <v>11.199999999999996</v>
      </c>
      <c r="W14" s="10">
        <v>0.68899999999999995</v>
      </c>
      <c r="X14" s="1"/>
      <c r="AQ14" s="3"/>
    </row>
    <row r="15" spans="1:43" ht="18" customHeight="1">
      <c r="A15" s="1"/>
      <c r="B15" s="1"/>
      <c r="C15" s="1"/>
      <c r="D15" s="1"/>
      <c r="E15" s="1"/>
      <c r="F15" s="1"/>
      <c r="G15" s="6">
        <f t="shared" si="0"/>
        <v>-18.600000000000005</v>
      </c>
      <c r="H15" s="7">
        <v>0.96399999999999997</v>
      </c>
      <c r="I15" s="8">
        <f t="shared" si="1"/>
        <v>-8.600000000000005</v>
      </c>
      <c r="J15" s="7">
        <v>0.91500000000000004</v>
      </c>
      <c r="K15" s="8">
        <f t="shared" si="2"/>
        <v>1.4</v>
      </c>
      <c r="L15" s="7">
        <v>79.91</v>
      </c>
      <c r="M15" s="8">
        <f t="shared" si="3"/>
        <v>11.399999999999995</v>
      </c>
      <c r="N15" s="10">
        <v>0.66800000000000004</v>
      </c>
      <c r="O15" s="1"/>
      <c r="P15" s="6">
        <f t="shared" si="4"/>
        <v>-18.600000000000005</v>
      </c>
      <c r="Q15" s="7">
        <v>0.92700000000000005</v>
      </c>
      <c r="R15" s="8">
        <f t="shared" si="5"/>
        <v>-8.600000000000005</v>
      </c>
      <c r="S15" s="7">
        <v>0.76200000000000001</v>
      </c>
      <c r="T15" s="8">
        <f t="shared" si="6"/>
        <v>1.4</v>
      </c>
      <c r="U15" s="7">
        <v>85.88</v>
      </c>
      <c r="V15" s="8">
        <f t="shared" si="7"/>
        <v>11.399999999999995</v>
      </c>
      <c r="W15" s="10">
        <v>0.753</v>
      </c>
      <c r="X15" s="1"/>
      <c r="AQ15" s="3"/>
    </row>
    <row r="16" spans="1:43" ht="18" customHeight="1">
      <c r="A16" s="1"/>
      <c r="B16" s="1"/>
      <c r="C16" s="1"/>
      <c r="D16" s="1"/>
      <c r="E16" s="1"/>
      <c r="F16" s="1"/>
      <c r="G16" s="6">
        <f t="shared" si="0"/>
        <v>-18.400000000000006</v>
      </c>
      <c r="H16" s="7">
        <v>0.47699999999999998</v>
      </c>
      <c r="I16" s="8">
        <f t="shared" si="1"/>
        <v>-8.4000000000000057</v>
      </c>
      <c r="J16" s="7">
        <v>0.63700000000000001</v>
      </c>
      <c r="K16" s="8">
        <f t="shared" si="2"/>
        <v>1.5999999999999999</v>
      </c>
      <c r="L16" s="7">
        <v>17.440000000000001</v>
      </c>
      <c r="M16" s="8">
        <f t="shared" si="3"/>
        <v>11.599999999999994</v>
      </c>
      <c r="N16" s="10">
        <v>0.878</v>
      </c>
      <c r="O16" s="1"/>
      <c r="P16" s="6">
        <f t="shared" si="4"/>
        <v>-18.400000000000006</v>
      </c>
      <c r="Q16" s="7">
        <v>0.59599999999999997</v>
      </c>
      <c r="R16" s="8">
        <f t="shared" si="5"/>
        <v>-8.4000000000000057</v>
      </c>
      <c r="S16" s="7">
        <v>0.60899999999999999</v>
      </c>
      <c r="T16" s="8">
        <f t="shared" si="6"/>
        <v>1.5999999999999999</v>
      </c>
      <c r="U16" s="7">
        <v>20.74</v>
      </c>
      <c r="V16" s="8">
        <f t="shared" si="7"/>
        <v>11.599999999999994</v>
      </c>
      <c r="W16" s="10">
        <v>1.1319999999999999</v>
      </c>
      <c r="X16" s="1"/>
      <c r="AQ16" s="3"/>
    </row>
    <row r="17" spans="1:43" ht="18" customHeight="1">
      <c r="A17" s="1"/>
      <c r="B17" s="1"/>
      <c r="C17" s="1"/>
      <c r="D17" s="1"/>
      <c r="E17" s="1"/>
      <c r="F17" s="1"/>
      <c r="G17" s="6">
        <f t="shared" si="0"/>
        <v>-18.200000000000006</v>
      </c>
      <c r="H17" s="7">
        <v>0.25</v>
      </c>
      <c r="I17" s="8">
        <f t="shared" si="1"/>
        <v>-8.2000000000000064</v>
      </c>
      <c r="J17" s="7">
        <v>2.198</v>
      </c>
      <c r="K17" s="8">
        <f t="shared" si="2"/>
        <v>1.7999999999999998</v>
      </c>
      <c r="L17" s="7">
        <v>11.79</v>
      </c>
      <c r="M17" s="8">
        <f t="shared" si="3"/>
        <v>11.799999999999994</v>
      </c>
      <c r="N17" s="10">
        <v>1.329</v>
      </c>
      <c r="O17" s="1"/>
      <c r="P17" s="6">
        <f t="shared" si="4"/>
        <v>-18.200000000000006</v>
      </c>
      <c r="Q17" s="7">
        <v>0.32600000000000001</v>
      </c>
      <c r="R17" s="8">
        <f t="shared" si="5"/>
        <v>-8.2000000000000064</v>
      </c>
      <c r="S17" s="7">
        <v>2.476</v>
      </c>
      <c r="T17" s="8">
        <f t="shared" si="6"/>
        <v>1.7999999999999998</v>
      </c>
      <c r="U17" s="7">
        <v>10.9</v>
      </c>
      <c r="V17" s="8">
        <f t="shared" si="7"/>
        <v>11.799999999999994</v>
      </c>
      <c r="W17" s="10">
        <v>1.415</v>
      </c>
      <c r="X17" s="1"/>
      <c r="AQ17" s="3"/>
    </row>
    <row r="18" spans="1:43" ht="18" customHeight="1">
      <c r="A18" s="1"/>
      <c r="B18" s="1"/>
      <c r="C18" s="1"/>
      <c r="D18" s="1"/>
      <c r="E18" s="1"/>
      <c r="F18" s="1"/>
      <c r="G18" s="6">
        <f t="shared" si="0"/>
        <v>-18.000000000000007</v>
      </c>
      <c r="H18" s="7">
        <v>0.26100000000000001</v>
      </c>
      <c r="I18" s="8">
        <f t="shared" si="1"/>
        <v>-8.0000000000000071</v>
      </c>
      <c r="J18" s="7">
        <v>4.3529999999999998</v>
      </c>
      <c r="K18" s="8">
        <f t="shared" si="2"/>
        <v>1.9999999999999998</v>
      </c>
      <c r="L18" s="7">
        <v>66.319999999999993</v>
      </c>
      <c r="M18" s="8">
        <f t="shared" si="3"/>
        <v>11.999999999999993</v>
      </c>
      <c r="N18" s="10">
        <v>1.403</v>
      </c>
      <c r="O18" s="1"/>
      <c r="P18" s="6">
        <f t="shared" si="4"/>
        <v>-18.000000000000007</v>
      </c>
      <c r="Q18" s="7">
        <v>0.214</v>
      </c>
      <c r="R18" s="8">
        <f t="shared" si="5"/>
        <v>-8.0000000000000071</v>
      </c>
      <c r="S18" s="7">
        <v>4.7649999999999997</v>
      </c>
      <c r="T18" s="8">
        <f t="shared" si="6"/>
        <v>1.9999999999999998</v>
      </c>
      <c r="U18" s="7">
        <v>56.74</v>
      </c>
      <c r="V18" s="8">
        <f t="shared" si="7"/>
        <v>11.999999999999993</v>
      </c>
      <c r="W18" s="10">
        <v>1.1830000000000001</v>
      </c>
      <c r="X18" s="1"/>
      <c r="AQ18" s="3"/>
    </row>
    <row r="19" spans="1:43" ht="18" customHeight="1">
      <c r="A19" s="1"/>
      <c r="B19" s="1"/>
      <c r="C19" s="1"/>
      <c r="D19" s="1"/>
      <c r="E19" s="1"/>
      <c r="F19" s="1"/>
      <c r="G19" s="6">
        <f t="shared" si="0"/>
        <v>-17.800000000000008</v>
      </c>
      <c r="H19" s="7">
        <v>0.55500000000000005</v>
      </c>
      <c r="I19" s="8">
        <f t="shared" si="1"/>
        <v>-7.8000000000000069</v>
      </c>
      <c r="J19" s="7">
        <v>4.9530000000000003</v>
      </c>
      <c r="K19" s="8">
        <f t="shared" si="2"/>
        <v>2.1999999999999997</v>
      </c>
      <c r="L19" s="7">
        <v>100.76</v>
      </c>
      <c r="M19" s="8">
        <f t="shared" si="3"/>
        <v>12.199999999999992</v>
      </c>
      <c r="N19" s="10">
        <v>0.76</v>
      </c>
      <c r="O19" s="1"/>
      <c r="P19" s="6">
        <f t="shared" si="4"/>
        <v>-17.800000000000008</v>
      </c>
      <c r="Q19" s="7">
        <v>0.46</v>
      </c>
      <c r="R19" s="8">
        <f t="shared" si="5"/>
        <v>-7.8000000000000069</v>
      </c>
      <c r="S19" s="7">
        <v>5.1100000000000003</v>
      </c>
      <c r="T19" s="8">
        <f t="shared" si="6"/>
        <v>2.1999999999999997</v>
      </c>
      <c r="U19" s="7">
        <v>94.48</v>
      </c>
      <c r="V19" s="8">
        <f t="shared" si="7"/>
        <v>12.199999999999992</v>
      </c>
      <c r="W19" s="10">
        <v>0.76700000000000002</v>
      </c>
      <c r="X19" s="1"/>
      <c r="AQ19" s="3"/>
    </row>
    <row r="20" spans="1:43" ht="18" customHeight="1">
      <c r="A20" s="1"/>
      <c r="B20" s="1"/>
      <c r="C20" s="1"/>
      <c r="D20" s="1"/>
      <c r="E20" s="1"/>
      <c r="F20" s="1"/>
      <c r="G20" s="6">
        <f t="shared" si="0"/>
        <v>-17.600000000000009</v>
      </c>
      <c r="H20" s="7">
        <v>0.81799999999999995</v>
      </c>
      <c r="I20" s="8">
        <f t="shared" si="1"/>
        <v>-7.6000000000000068</v>
      </c>
      <c r="J20" s="7">
        <v>2.9649999999999999</v>
      </c>
      <c r="K20" s="8">
        <f t="shared" si="2"/>
        <v>2.4</v>
      </c>
      <c r="L20" s="7">
        <v>96.45</v>
      </c>
      <c r="M20" s="8">
        <f t="shared" si="3"/>
        <v>12.399999999999991</v>
      </c>
      <c r="N20" s="10">
        <v>0.31130000000000002</v>
      </c>
      <c r="O20" s="1"/>
      <c r="P20" s="6">
        <f t="shared" si="4"/>
        <v>-17.600000000000009</v>
      </c>
      <c r="Q20" s="7">
        <v>0.72499999999999998</v>
      </c>
      <c r="R20" s="8">
        <f t="shared" si="5"/>
        <v>-7.6000000000000068</v>
      </c>
      <c r="S20" s="7">
        <v>3.4489999999999998</v>
      </c>
      <c r="T20" s="8">
        <f t="shared" si="6"/>
        <v>2.4</v>
      </c>
      <c r="U20" s="7">
        <v>101.82</v>
      </c>
      <c r="V20" s="8">
        <f t="shared" si="7"/>
        <v>12.399999999999991</v>
      </c>
      <c r="W20" s="10">
        <v>0.28599999999999998</v>
      </c>
      <c r="X20" s="1"/>
      <c r="AQ20" s="3"/>
    </row>
    <row r="21" spans="1:43" ht="18" customHeight="1">
      <c r="A21" s="1"/>
      <c r="B21" s="1"/>
      <c r="C21" s="1"/>
      <c r="D21" s="1"/>
      <c r="E21" s="1"/>
      <c r="F21" s="1"/>
      <c r="G21" s="6">
        <f t="shared" si="0"/>
        <v>-17.400000000000009</v>
      </c>
      <c r="H21" s="7">
        <v>0.80100000000000005</v>
      </c>
      <c r="I21" s="8">
        <f t="shared" si="1"/>
        <v>-7.4000000000000066</v>
      </c>
      <c r="J21" s="7">
        <v>0.80900000000000005</v>
      </c>
      <c r="K21" s="8">
        <f t="shared" si="2"/>
        <v>2.6</v>
      </c>
      <c r="L21" s="7">
        <v>60.76</v>
      </c>
      <c r="M21" s="8">
        <f t="shared" si="3"/>
        <v>12.599999999999991</v>
      </c>
      <c r="N21" s="10">
        <v>0.37019999999999997</v>
      </c>
      <c r="O21" s="1"/>
      <c r="P21" s="6">
        <f t="shared" si="4"/>
        <v>-17.400000000000009</v>
      </c>
      <c r="Q21" s="7">
        <v>0.70299999999999996</v>
      </c>
      <c r="R21" s="8">
        <f t="shared" si="5"/>
        <v>-7.4000000000000066</v>
      </c>
      <c r="S21" s="7">
        <v>1.272</v>
      </c>
      <c r="T21" s="8">
        <f t="shared" si="6"/>
        <v>2.6</v>
      </c>
      <c r="U21" s="7">
        <v>75.98</v>
      </c>
      <c r="V21" s="8">
        <f t="shared" si="7"/>
        <v>12.599999999999991</v>
      </c>
      <c r="W21" s="10">
        <v>0.41</v>
      </c>
      <c r="X21" s="1"/>
      <c r="AQ21" s="3"/>
    </row>
    <row r="22" spans="1:43" ht="18" customHeight="1">
      <c r="A22" s="1"/>
      <c r="B22" s="1"/>
      <c r="C22" s="1"/>
      <c r="D22" s="1"/>
      <c r="E22" s="1"/>
      <c r="F22" s="1"/>
      <c r="G22" s="6">
        <f t="shared" si="0"/>
        <v>-17.20000000000001</v>
      </c>
      <c r="H22" s="7">
        <v>0.54100000000000004</v>
      </c>
      <c r="I22" s="8">
        <f t="shared" si="1"/>
        <v>-7.2000000000000064</v>
      </c>
      <c r="J22" s="7">
        <v>0.79200000000000004</v>
      </c>
      <c r="K22" s="8">
        <f t="shared" si="2"/>
        <v>2.8000000000000003</v>
      </c>
      <c r="L22" s="7">
        <v>24.36</v>
      </c>
      <c r="M22" s="8">
        <f t="shared" si="3"/>
        <v>12.79999999999999</v>
      </c>
      <c r="N22" s="10">
        <v>0.63400000000000001</v>
      </c>
      <c r="O22" s="1"/>
      <c r="P22" s="6">
        <f t="shared" si="4"/>
        <v>-17.20000000000001</v>
      </c>
      <c r="Q22" s="7">
        <v>0.52</v>
      </c>
      <c r="R22" s="8">
        <f t="shared" si="5"/>
        <v>-7.2000000000000064</v>
      </c>
      <c r="S22" s="7">
        <v>0.59199999999999997</v>
      </c>
      <c r="T22" s="8">
        <f t="shared" si="6"/>
        <v>2.8000000000000003</v>
      </c>
      <c r="U22" s="7">
        <v>23.41</v>
      </c>
      <c r="V22" s="8">
        <f t="shared" si="7"/>
        <v>12.79999999999999</v>
      </c>
      <c r="W22" s="10">
        <v>0.59799999999999998</v>
      </c>
      <c r="X22" s="1"/>
      <c r="AQ22" s="3"/>
    </row>
    <row r="23" spans="1:43" ht="18" customHeight="1">
      <c r="A23" s="1"/>
      <c r="B23" s="1"/>
      <c r="C23" s="1"/>
      <c r="D23" s="1"/>
      <c r="E23" s="1"/>
      <c r="F23" s="1"/>
      <c r="G23" s="6">
        <f t="shared" si="0"/>
        <v>-17.000000000000011</v>
      </c>
      <c r="H23" s="7">
        <v>0.436</v>
      </c>
      <c r="I23" s="8">
        <f t="shared" si="1"/>
        <v>-7.0000000000000062</v>
      </c>
      <c r="J23" s="7">
        <v>2.0129999999999999</v>
      </c>
      <c r="K23" s="8">
        <f t="shared" si="2"/>
        <v>3.0000000000000004</v>
      </c>
      <c r="L23" s="7">
        <v>4.29</v>
      </c>
      <c r="M23" s="8">
        <f t="shared" si="3"/>
        <v>12.999999999999989</v>
      </c>
      <c r="N23" s="10">
        <v>0.87320000000000009</v>
      </c>
      <c r="O23" s="1"/>
      <c r="P23" s="6">
        <f t="shared" si="4"/>
        <v>-17.000000000000011</v>
      </c>
      <c r="Q23" s="7">
        <v>0.39039999999999997</v>
      </c>
      <c r="R23" s="8">
        <f t="shared" si="5"/>
        <v>-7.0000000000000062</v>
      </c>
      <c r="S23" s="7">
        <v>1.714</v>
      </c>
      <c r="T23" s="8">
        <f t="shared" si="6"/>
        <v>3.0000000000000004</v>
      </c>
      <c r="U23" s="7">
        <v>4.3499999999999996</v>
      </c>
      <c r="V23" s="8">
        <f t="shared" si="7"/>
        <v>12.999999999999989</v>
      </c>
      <c r="W23" s="10">
        <v>0.79500000000000004</v>
      </c>
      <c r="X23" s="1"/>
      <c r="AQ23" s="3"/>
    </row>
    <row r="24" spans="1:43" ht="18" customHeight="1">
      <c r="A24" s="1"/>
      <c r="B24" s="1"/>
      <c r="C24" s="1"/>
      <c r="D24" s="1"/>
      <c r="E24" s="1"/>
      <c r="F24" s="1"/>
      <c r="G24" s="6">
        <f t="shared" si="0"/>
        <v>-16.800000000000011</v>
      </c>
      <c r="H24" s="7">
        <v>0.58499999999999996</v>
      </c>
      <c r="I24" s="8">
        <f t="shared" si="1"/>
        <v>-6.800000000000006</v>
      </c>
      <c r="J24" s="7">
        <v>3.2879999999999998</v>
      </c>
      <c r="K24" s="8">
        <f t="shared" si="2"/>
        <v>3.2000000000000006</v>
      </c>
      <c r="L24" s="7">
        <v>20.93</v>
      </c>
      <c r="M24" s="8">
        <f t="shared" si="3"/>
        <v>13.199999999999989</v>
      </c>
      <c r="N24" s="10">
        <v>0.86609999999999998</v>
      </c>
      <c r="O24" s="1"/>
      <c r="P24" s="6">
        <f t="shared" si="4"/>
        <v>-16.800000000000011</v>
      </c>
      <c r="Q24" s="7">
        <v>0.52329999999999999</v>
      </c>
      <c r="R24" s="8">
        <f t="shared" si="5"/>
        <v>-6.800000000000006</v>
      </c>
      <c r="S24" s="7">
        <v>2.9329999999999998</v>
      </c>
      <c r="T24" s="8">
        <f t="shared" si="6"/>
        <v>3.2000000000000006</v>
      </c>
      <c r="U24" s="7">
        <v>23.88</v>
      </c>
      <c r="V24" s="8">
        <f t="shared" si="7"/>
        <v>13.199999999999989</v>
      </c>
      <c r="W24" s="10">
        <v>0.76500000000000001</v>
      </c>
      <c r="X24" s="1"/>
      <c r="AQ24" s="3"/>
    </row>
    <row r="25" spans="1:43" ht="18" customHeight="1">
      <c r="A25" s="1"/>
      <c r="B25" s="1"/>
      <c r="C25" s="1"/>
      <c r="D25" s="1"/>
      <c r="E25" s="1"/>
      <c r="F25" s="1"/>
      <c r="G25" s="6">
        <f t="shared" si="0"/>
        <v>-16.600000000000012</v>
      </c>
      <c r="H25" s="7">
        <v>0.89400000000000002</v>
      </c>
      <c r="I25" s="8">
        <f t="shared" si="1"/>
        <v>-6.6000000000000059</v>
      </c>
      <c r="J25" s="7">
        <v>2.9089999999999998</v>
      </c>
      <c r="K25" s="8">
        <f t="shared" si="2"/>
        <v>3.4000000000000008</v>
      </c>
      <c r="L25" s="7">
        <v>42.38</v>
      </c>
      <c r="M25" s="8">
        <f t="shared" si="3"/>
        <v>13.399999999999988</v>
      </c>
      <c r="N25" s="10">
        <v>0.75670000000000004</v>
      </c>
      <c r="O25" s="1"/>
      <c r="P25" s="6">
        <f t="shared" si="4"/>
        <v>-16.600000000000012</v>
      </c>
      <c r="Q25" s="7">
        <v>0.8</v>
      </c>
      <c r="R25" s="8">
        <f t="shared" si="5"/>
        <v>-6.6000000000000059</v>
      </c>
      <c r="S25" s="7">
        <v>3.0539999999999998</v>
      </c>
      <c r="T25" s="8">
        <f t="shared" si="6"/>
        <v>3.4000000000000008</v>
      </c>
      <c r="U25" s="7">
        <v>40.04</v>
      </c>
      <c r="V25" s="8">
        <f t="shared" si="7"/>
        <v>13.399999999999988</v>
      </c>
      <c r="W25" s="10">
        <v>0.68500000000000005</v>
      </c>
      <c r="X25" s="1"/>
      <c r="AQ25" s="3"/>
    </row>
    <row r="26" spans="1:43" ht="18" customHeight="1">
      <c r="A26" s="1"/>
      <c r="B26" s="1"/>
      <c r="C26" s="1"/>
      <c r="D26" s="1"/>
      <c r="E26" s="1"/>
      <c r="F26" s="1"/>
      <c r="G26" s="6">
        <f t="shared" si="0"/>
        <v>-16.400000000000013</v>
      </c>
      <c r="H26" s="7">
        <v>0.79400000000000004</v>
      </c>
      <c r="I26" s="8">
        <f t="shared" si="1"/>
        <v>-6.4000000000000057</v>
      </c>
      <c r="J26" s="7">
        <v>1.405</v>
      </c>
      <c r="K26" s="8">
        <f t="shared" si="2"/>
        <v>3.600000000000001</v>
      </c>
      <c r="L26" s="7">
        <v>44.95</v>
      </c>
      <c r="M26" s="8">
        <f t="shared" si="3"/>
        <v>13.599999999999987</v>
      </c>
      <c r="N26" s="10">
        <v>0.78979999999999995</v>
      </c>
      <c r="O26" s="1"/>
      <c r="P26" s="6">
        <f t="shared" si="4"/>
        <v>-16.400000000000013</v>
      </c>
      <c r="Q26" s="7">
        <v>0.67700000000000005</v>
      </c>
      <c r="R26" s="8">
        <f t="shared" si="5"/>
        <v>-6.4000000000000057</v>
      </c>
      <c r="S26" s="7">
        <v>1.855</v>
      </c>
      <c r="T26" s="8">
        <f t="shared" si="6"/>
        <v>3.600000000000001</v>
      </c>
      <c r="U26" s="7">
        <v>43.83</v>
      </c>
      <c r="V26" s="8">
        <f t="shared" si="7"/>
        <v>13.599999999999987</v>
      </c>
      <c r="W26" s="10">
        <v>0.74590000000000001</v>
      </c>
      <c r="X26" s="1"/>
      <c r="AQ26" s="3"/>
    </row>
    <row r="27" spans="1:43" ht="18" customHeight="1">
      <c r="A27" s="1"/>
      <c r="B27" s="1"/>
      <c r="C27" s="1"/>
      <c r="D27" s="1"/>
      <c r="E27" s="1"/>
      <c r="F27" s="1"/>
      <c r="G27" s="6">
        <f t="shared" si="0"/>
        <v>-16.200000000000014</v>
      </c>
      <c r="H27" s="7">
        <v>0.38200000000000001</v>
      </c>
      <c r="I27" s="8">
        <f t="shared" si="1"/>
        <v>-6.2000000000000055</v>
      </c>
      <c r="J27" s="7">
        <v>0.57599999999999996</v>
      </c>
      <c r="K27" s="8">
        <f t="shared" si="2"/>
        <v>3.8000000000000012</v>
      </c>
      <c r="L27" s="7">
        <v>29.5</v>
      </c>
      <c r="M27" s="8">
        <f t="shared" si="3"/>
        <v>13.799999999999986</v>
      </c>
      <c r="N27" s="10">
        <v>0.88070000000000004</v>
      </c>
      <c r="O27" s="1"/>
      <c r="P27" s="6">
        <f t="shared" si="4"/>
        <v>-16.200000000000014</v>
      </c>
      <c r="Q27" s="7">
        <v>0.27239999999999998</v>
      </c>
      <c r="R27" s="8">
        <f t="shared" si="5"/>
        <v>-6.2000000000000055</v>
      </c>
      <c r="S27" s="7">
        <v>0.51500000000000001</v>
      </c>
      <c r="T27" s="8">
        <f t="shared" si="6"/>
        <v>3.8000000000000012</v>
      </c>
      <c r="U27" s="7">
        <v>27.49</v>
      </c>
      <c r="V27" s="8">
        <f t="shared" si="7"/>
        <v>13.799999999999986</v>
      </c>
      <c r="W27" s="10">
        <v>0.85220000000000007</v>
      </c>
      <c r="X27" s="1"/>
      <c r="AQ27" s="3"/>
    </row>
    <row r="28" spans="1:43" ht="18" customHeight="1">
      <c r="A28" s="1"/>
      <c r="B28" s="1"/>
      <c r="C28" s="1"/>
      <c r="D28" s="1"/>
      <c r="E28" s="1"/>
      <c r="F28" s="1"/>
      <c r="G28" s="6">
        <f t="shared" si="0"/>
        <v>-16.000000000000014</v>
      </c>
      <c r="H28" s="7">
        <v>0.19500000000000001</v>
      </c>
      <c r="I28" s="8">
        <f t="shared" si="1"/>
        <v>-6.0000000000000053</v>
      </c>
      <c r="J28" s="7">
        <v>0.38600000000000001</v>
      </c>
      <c r="K28" s="8">
        <f t="shared" si="2"/>
        <v>4.0000000000000009</v>
      </c>
      <c r="L28" s="7">
        <v>11.12</v>
      </c>
      <c r="M28" s="8">
        <f t="shared" si="3"/>
        <v>13.999999999999986</v>
      </c>
      <c r="N28" s="10">
        <v>0.81020000000000003</v>
      </c>
      <c r="O28" s="1"/>
      <c r="P28" s="6">
        <f t="shared" si="4"/>
        <v>-16.000000000000014</v>
      </c>
      <c r="Q28" s="7">
        <v>0.19069999999999998</v>
      </c>
      <c r="R28" s="8">
        <f t="shared" si="5"/>
        <v>-6.0000000000000053</v>
      </c>
      <c r="S28" s="7">
        <v>0.42</v>
      </c>
      <c r="T28" s="8">
        <f t="shared" si="6"/>
        <v>4.0000000000000009</v>
      </c>
      <c r="U28" s="7">
        <v>9.36</v>
      </c>
      <c r="V28" s="8">
        <f t="shared" si="7"/>
        <v>13.999999999999986</v>
      </c>
      <c r="W28" s="10">
        <v>0.78520000000000001</v>
      </c>
      <c r="X28" s="1"/>
      <c r="AQ28" s="3"/>
    </row>
    <row r="29" spans="1:43" ht="18" customHeight="1">
      <c r="A29" s="1"/>
      <c r="B29" s="1"/>
      <c r="C29" s="1"/>
      <c r="D29" s="1"/>
      <c r="E29" s="1"/>
      <c r="F29" s="1"/>
      <c r="G29" s="6">
        <f t="shared" si="0"/>
        <v>-15.800000000000015</v>
      </c>
      <c r="H29" s="7">
        <v>0.39800000000000002</v>
      </c>
      <c r="I29" s="8">
        <f t="shared" si="1"/>
        <v>-5.8000000000000052</v>
      </c>
      <c r="J29" s="7">
        <v>1.5409999999999999</v>
      </c>
      <c r="K29" s="8">
        <f t="shared" si="2"/>
        <v>4.2000000000000011</v>
      </c>
      <c r="L29" s="7">
        <v>2.71</v>
      </c>
      <c r="M29" s="8">
        <f t="shared" si="3"/>
        <v>14.199999999999985</v>
      </c>
      <c r="N29" s="10">
        <v>0.4446</v>
      </c>
      <c r="O29" s="1"/>
      <c r="P29" s="6">
        <f t="shared" si="4"/>
        <v>-15.800000000000015</v>
      </c>
      <c r="Q29" s="7">
        <v>0.439</v>
      </c>
      <c r="R29" s="8">
        <f t="shared" si="5"/>
        <v>-5.8000000000000052</v>
      </c>
      <c r="S29" s="7">
        <v>1.532</v>
      </c>
      <c r="T29" s="8">
        <f t="shared" si="6"/>
        <v>4.2000000000000011</v>
      </c>
      <c r="U29" s="7">
        <v>2.71</v>
      </c>
      <c r="V29" s="8">
        <f t="shared" si="7"/>
        <v>14.199999999999985</v>
      </c>
      <c r="W29" s="10">
        <v>0.53970000000000007</v>
      </c>
      <c r="X29" s="1"/>
      <c r="AQ29" s="3"/>
    </row>
    <row r="30" spans="1:43" ht="18" customHeight="1">
      <c r="A30" s="1"/>
      <c r="B30" s="1"/>
      <c r="C30" s="1"/>
      <c r="D30" s="1"/>
      <c r="E30" s="1"/>
      <c r="F30" s="1"/>
      <c r="G30" s="6">
        <f t="shared" si="0"/>
        <v>-15.600000000000016</v>
      </c>
      <c r="H30" s="7">
        <v>0.94499999999999995</v>
      </c>
      <c r="I30" s="8">
        <f t="shared" si="1"/>
        <v>-5.600000000000005</v>
      </c>
      <c r="J30" s="7">
        <v>3.2170000000000001</v>
      </c>
      <c r="K30" s="8">
        <f t="shared" si="2"/>
        <v>4.4000000000000012</v>
      </c>
      <c r="L30" s="7">
        <v>7.46</v>
      </c>
      <c r="M30" s="8">
        <f t="shared" si="3"/>
        <v>14.399999999999984</v>
      </c>
      <c r="N30" s="10">
        <v>0.22359999999999999</v>
      </c>
      <c r="O30" s="1"/>
      <c r="P30" s="6">
        <f t="shared" si="4"/>
        <v>-15.600000000000016</v>
      </c>
      <c r="Q30" s="7">
        <v>0.86799999999999999</v>
      </c>
      <c r="R30" s="8">
        <f t="shared" si="5"/>
        <v>-5.600000000000005</v>
      </c>
      <c r="S30" s="7">
        <v>3.1459999999999999</v>
      </c>
      <c r="T30" s="8">
        <f t="shared" si="6"/>
        <v>4.4000000000000012</v>
      </c>
      <c r="U30" s="7">
        <v>8.81</v>
      </c>
      <c r="V30" s="8">
        <f t="shared" si="7"/>
        <v>14.399999999999984</v>
      </c>
      <c r="W30" s="10">
        <v>0.24399999999999999</v>
      </c>
      <c r="X30" s="1"/>
      <c r="AQ30" s="3"/>
    </row>
    <row r="31" spans="1:43" ht="18" customHeight="1">
      <c r="A31" s="1"/>
      <c r="B31" s="1"/>
      <c r="C31" s="1"/>
      <c r="D31" s="1"/>
      <c r="E31" s="1"/>
      <c r="F31" s="1"/>
      <c r="G31" s="6">
        <f t="shared" si="0"/>
        <v>-15.400000000000016</v>
      </c>
      <c r="H31" s="7">
        <v>1.292</v>
      </c>
      <c r="I31" s="8">
        <f t="shared" si="1"/>
        <v>-5.4000000000000048</v>
      </c>
      <c r="J31" s="7">
        <v>4.9649999999999999</v>
      </c>
      <c r="K31" s="8">
        <f t="shared" si="2"/>
        <v>4.6000000000000014</v>
      </c>
      <c r="L31" s="7">
        <v>12.85</v>
      </c>
      <c r="M31" s="8">
        <f t="shared" si="3"/>
        <v>14.599999999999984</v>
      </c>
      <c r="N31" s="10">
        <v>0.3473</v>
      </c>
      <c r="O31" s="1"/>
      <c r="P31" s="6">
        <f t="shared" si="4"/>
        <v>-15.400000000000016</v>
      </c>
      <c r="Q31" s="7">
        <v>1.0860000000000001</v>
      </c>
      <c r="R31" s="8">
        <f t="shared" si="5"/>
        <v>-5.4000000000000048</v>
      </c>
      <c r="S31" s="7">
        <v>5.2450000000000001</v>
      </c>
      <c r="T31" s="8">
        <f t="shared" si="6"/>
        <v>4.6000000000000014</v>
      </c>
      <c r="U31" s="7">
        <v>13.35</v>
      </c>
      <c r="V31" s="8">
        <f t="shared" si="7"/>
        <v>14.599999999999984</v>
      </c>
      <c r="W31" s="10">
        <v>0.25639999999999996</v>
      </c>
      <c r="X31" s="1"/>
      <c r="AQ31" s="3"/>
    </row>
    <row r="32" spans="1:43" ht="18" customHeight="1">
      <c r="A32" s="1"/>
      <c r="B32" s="1"/>
      <c r="C32" s="1"/>
      <c r="D32" s="1"/>
      <c r="E32" s="1"/>
      <c r="F32" s="1"/>
      <c r="G32" s="6">
        <f t="shared" si="0"/>
        <v>-15.200000000000017</v>
      </c>
      <c r="H32" s="7">
        <v>1.115</v>
      </c>
      <c r="I32" s="8">
        <f t="shared" si="1"/>
        <v>-5.2000000000000046</v>
      </c>
      <c r="J32" s="7">
        <v>5.6879999999999997</v>
      </c>
      <c r="K32" s="8">
        <f t="shared" si="2"/>
        <v>4.8000000000000016</v>
      </c>
      <c r="L32" s="7">
        <v>13.16</v>
      </c>
      <c r="M32" s="8">
        <f t="shared" si="3"/>
        <v>14.799999999999983</v>
      </c>
      <c r="N32" s="10">
        <v>0.67070000000000007</v>
      </c>
      <c r="O32" s="1"/>
      <c r="P32" s="6">
        <f t="shared" si="4"/>
        <v>-15.200000000000017</v>
      </c>
      <c r="Q32" s="7">
        <v>0.88200000000000001</v>
      </c>
      <c r="R32" s="8">
        <f t="shared" si="5"/>
        <v>-5.2000000000000046</v>
      </c>
      <c r="S32" s="7">
        <v>5.4710000000000001</v>
      </c>
      <c r="T32" s="8">
        <f t="shared" si="6"/>
        <v>4.8000000000000016</v>
      </c>
      <c r="U32" s="7">
        <v>12.73</v>
      </c>
      <c r="V32" s="8">
        <f t="shared" si="7"/>
        <v>14.799999999999983</v>
      </c>
      <c r="W32" s="10">
        <v>0.59870000000000001</v>
      </c>
      <c r="X32" s="1"/>
      <c r="AQ32" s="3"/>
    </row>
    <row r="33" spans="1:43" ht="18" customHeight="1">
      <c r="A33" s="1"/>
      <c r="B33" s="1"/>
      <c r="C33" s="1"/>
      <c r="D33" s="1"/>
      <c r="E33" s="1"/>
      <c r="F33" s="1"/>
      <c r="G33" s="6">
        <f t="shared" si="0"/>
        <v>-15.000000000000018</v>
      </c>
      <c r="H33" s="7">
        <v>0.71299999999999997</v>
      </c>
      <c r="I33" s="8">
        <f t="shared" si="1"/>
        <v>-5.0000000000000044</v>
      </c>
      <c r="J33" s="7">
        <v>3.5059999999999998</v>
      </c>
      <c r="K33" s="8">
        <f t="shared" si="2"/>
        <v>5.0000000000000018</v>
      </c>
      <c r="L33" s="7">
        <v>8.76</v>
      </c>
      <c r="M33" s="8">
        <f t="shared" si="3"/>
        <v>14.999999999999982</v>
      </c>
      <c r="N33" s="10">
        <v>0.98660000000000003</v>
      </c>
      <c r="O33" s="1"/>
      <c r="P33" s="6">
        <f t="shared" si="4"/>
        <v>-15.000000000000018</v>
      </c>
      <c r="Q33" s="7">
        <v>0.48599999999999999</v>
      </c>
      <c r="R33" s="8">
        <f t="shared" si="5"/>
        <v>-5.0000000000000044</v>
      </c>
      <c r="S33" s="7">
        <v>3.8759999999999999</v>
      </c>
      <c r="T33" s="8">
        <f t="shared" si="6"/>
        <v>5.0000000000000018</v>
      </c>
      <c r="U33" s="7">
        <v>6.4</v>
      </c>
      <c r="V33" s="8">
        <f t="shared" si="7"/>
        <v>14.999999999999982</v>
      </c>
      <c r="W33" s="10">
        <v>0.88300000000000001</v>
      </c>
      <c r="X33" s="1"/>
      <c r="AQ33" s="3"/>
    </row>
    <row r="34" spans="1:43" ht="18" customHeight="1">
      <c r="A34" s="1"/>
      <c r="B34" s="1"/>
      <c r="C34" s="1"/>
      <c r="D34" s="1"/>
      <c r="E34" s="1"/>
      <c r="F34" s="1"/>
      <c r="G34" s="6">
        <f t="shared" si="0"/>
        <v>-14.800000000000018</v>
      </c>
      <c r="H34" s="7">
        <v>0.28100000000000003</v>
      </c>
      <c r="I34" s="8">
        <f t="shared" si="1"/>
        <v>-4.8000000000000043</v>
      </c>
      <c r="J34" s="7">
        <v>1.1910000000000001</v>
      </c>
      <c r="K34" s="8">
        <f t="shared" si="2"/>
        <v>5.200000000000002</v>
      </c>
      <c r="L34" s="7">
        <v>3.19</v>
      </c>
      <c r="M34" s="8">
        <f t="shared" si="3"/>
        <v>15.199999999999982</v>
      </c>
      <c r="N34" s="10">
        <v>0.98580000000000001</v>
      </c>
      <c r="O34" s="1"/>
      <c r="P34" s="6">
        <f t="shared" si="4"/>
        <v>-14.800000000000018</v>
      </c>
      <c r="Q34" s="7">
        <v>0.20369999999999999</v>
      </c>
      <c r="R34" s="8">
        <f t="shared" si="5"/>
        <v>-4.8000000000000043</v>
      </c>
      <c r="S34" s="7">
        <v>1.641</v>
      </c>
      <c r="T34" s="8">
        <f t="shared" si="6"/>
        <v>5.200000000000002</v>
      </c>
      <c r="U34" s="7">
        <v>2.12</v>
      </c>
      <c r="V34" s="8">
        <f t="shared" si="7"/>
        <v>15.199999999999982</v>
      </c>
      <c r="W34" s="10">
        <v>0.96299999999999997</v>
      </c>
      <c r="X34" s="1"/>
      <c r="AQ34" s="3"/>
    </row>
    <row r="35" spans="1:43" ht="18" customHeight="1">
      <c r="A35" s="1"/>
      <c r="B35" s="1"/>
      <c r="C35" s="1"/>
      <c r="D35" s="1"/>
      <c r="E35" s="1"/>
      <c r="F35" s="1"/>
      <c r="G35" s="6">
        <f t="shared" si="0"/>
        <v>-14.600000000000019</v>
      </c>
      <c r="H35" s="7">
        <v>0.28999999999999998</v>
      </c>
      <c r="I35" s="8">
        <f t="shared" si="1"/>
        <v>-4.6000000000000041</v>
      </c>
      <c r="J35" s="7">
        <v>1.7330000000000001</v>
      </c>
      <c r="K35" s="8">
        <f t="shared" si="2"/>
        <v>5.4000000000000021</v>
      </c>
      <c r="L35" s="7">
        <v>1.1499999999999999</v>
      </c>
      <c r="M35" s="8">
        <f t="shared" si="3"/>
        <v>15.399999999999981</v>
      </c>
      <c r="N35" s="10">
        <v>0.63229999999999997</v>
      </c>
      <c r="O35" s="1"/>
      <c r="P35" s="6">
        <f t="shared" si="4"/>
        <v>-14.600000000000019</v>
      </c>
      <c r="Q35" s="7">
        <v>0.4113</v>
      </c>
      <c r="R35" s="8">
        <f t="shared" si="5"/>
        <v>-4.6000000000000041</v>
      </c>
      <c r="S35" s="7">
        <v>1.5</v>
      </c>
      <c r="T35" s="8">
        <f t="shared" si="6"/>
        <v>5.4000000000000021</v>
      </c>
      <c r="U35" s="7">
        <v>1.26</v>
      </c>
      <c r="V35" s="8">
        <f t="shared" si="7"/>
        <v>15.399999999999981</v>
      </c>
      <c r="W35" s="10">
        <v>0.70899999999999996</v>
      </c>
      <c r="X35" s="1"/>
      <c r="AQ35" s="3"/>
    </row>
    <row r="36" spans="1:43" ht="18" customHeight="1">
      <c r="A36" s="1"/>
      <c r="B36" s="1"/>
      <c r="C36" s="1"/>
      <c r="D36" s="1"/>
      <c r="E36" s="1"/>
      <c r="F36" s="1"/>
      <c r="G36" s="6">
        <f t="shared" si="0"/>
        <v>-14.40000000000002</v>
      </c>
      <c r="H36" s="7">
        <v>0.69299999999999995</v>
      </c>
      <c r="I36" s="8">
        <f t="shared" si="1"/>
        <v>-4.4000000000000039</v>
      </c>
      <c r="J36" s="7">
        <v>8.8710000000000004</v>
      </c>
      <c r="K36" s="8">
        <f t="shared" si="2"/>
        <v>5.6000000000000023</v>
      </c>
      <c r="L36" s="7">
        <v>2.99</v>
      </c>
      <c r="M36" s="8">
        <f t="shared" si="3"/>
        <v>15.59999999999998</v>
      </c>
      <c r="N36" s="10">
        <v>0.32680000000000003</v>
      </c>
      <c r="O36" s="1"/>
      <c r="P36" s="6">
        <f t="shared" si="4"/>
        <v>-14.40000000000002</v>
      </c>
      <c r="Q36" s="7">
        <v>0.78110000000000002</v>
      </c>
      <c r="R36" s="8">
        <f t="shared" si="5"/>
        <v>-4.4000000000000039</v>
      </c>
      <c r="S36" s="7">
        <v>6.8129999999999997</v>
      </c>
      <c r="T36" s="8">
        <f t="shared" si="6"/>
        <v>5.6000000000000023</v>
      </c>
      <c r="U36" s="7">
        <v>3.17</v>
      </c>
      <c r="V36" s="8">
        <f t="shared" si="7"/>
        <v>15.59999999999998</v>
      </c>
      <c r="W36" s="10">
        <v>0.40500000000000003</v>
      </c>
      <c r="X36" s="1"/>
      <c r="AQ36" s="3"/>
    </row>
    <row r="37" spans="1:43" ht="18" customHeight="1">
      <c r="A37" s="1"/>
      <c r="B37" s="1"/>
      <c r="C37" s="1"/>
      <c r="D37" s="1"/>
      <c r="E37" s="1"/>
      <c r="F37" s="1"/>
      <c r="G37" s="6">
        <f t="shared" si="0"/>
        <v>-14.200000000000021</v>
      </c>
      <c r="H37" s="7">
        <v>0.995</v>
      </c>
      <c r="I37" s="8">
        <f t="shared" si="1"/>
        <v>-4.2000000000000037</v>
      </c>
      <c r="J37" s="7">
        <v>15.776</v>
      </c>
      <c r="K37" s="8">
        <f t="shared" si="2"/>
        <v>5.8000000000000025</v>
      </c>
      <c r="L37" s="7">
        <v>5.31</v>
      </c>
      <c r="M37" s="8">
        <f t="shared" si="3"/>
        <v>15.799999999999979</v>
      </c>
      <c r="N37" s="10">
        <v>0.2072</v>
      </c>
      <c r="O37" s="1"/>
      <c r="P37" s="6">
        <f t="shared" si="4"/>
        <v>-14.200000000000021</v>
      </c>
      <c r="Q37" s="7">
        <v>0.88</v>
      </c>
      <c r="R37" s="8">
        <f t="shared" si="5"/>
        <v>-4.2000000000000037</v>
      </c>
      <c r="S37" s="7">
        <v>1.8120000000000001</v>
      </c>
      <c r="T37" s="8">
        <f t="shared" si="6"/>
        <v>5.8000000000000025</v>
      </c>
      <c r="U37" s="7">
        <v>5.28</v>
      </c>
      <c r="V37" s="8">
        <f t="shared" si="7"/>
        <v>15.799999999999979</v>
      </c>
      <c r="W37" s="10">
        <v>0.22700000000000001</v>
      </c>
      <c r="X37" s="1"/>
      <c r="AQ37" s="3"/>
    </row>
    <row r="38" spans="1:43" ht="18" customHeight="1">
      <c r="A38" s="1"/>
      <c r="B38" s="1"/>
      <c r="C38" s="1"/>
      <c r="D38" s="1"/>
      <c r="E38" s="1"/>
      <c r="F38" s="1"/>
      <c r="G38" s="6">
        <f t="shared" si="0"/>
        <v>-14.000000000000021</v>
      </c>
      <c r="H38" s="7">
        <v>0.96599999999999997</v>
      </c>
      <c r="I38" s="8">
        <f t="shared" si="1"/>
        <v>-4.0000000000000036</v>
      </c>
      <c r="J38" s="7">
        <v>21.73</v>
      </c>
      <c r="K38" s="8">
        <f t="shared" si="2"/>
        <v>6.0000000000000027</v>
      </c>
      <c r="L38" s="7">
        <v>5.7809999999999997</v>
      </c>
      <c r="M38" s="8">
        <f t="shared" si="3"/>
        <v>15.999999999999979</v>
      </c>
      <c r="N38" s="10">
        <v>0.32050000000000001</v>
      </c>
      <c r="O38" s="1"/>
      <c r="P38" s="6">
        <f t="shared" si="4"/>
        <v>-14.000000000000021</v>
      </c>
      <c r="Q38" s="7">
        <v>0.83920000000000006</v>
      </c>
      <c r="R38" s="8">
        <f t="shared" si="5"/>
        <v>-4.0000000000000036</v>
      </c>
      <c r="S38" s="7">
        <v>25.55</v>
      </c>
      <c r="T38" s="8">
        <f t="shared" si="6"/>
        <v>6.0000000000000027</v>
      </c>
      <c r="U38" s="7">
        <v>5.55</v>
      </c>
      <c r="V38" s="8">
        <f t="shared" si="7"/>
        <v>15.999999999999979</v>
      </c>
      <c r="W38" s="10">
        <v>0.26900000000000002</v>
      </c>
      <c r="X38" s="1"/>
      <c r="AQ38" s="3"/>
    </row>
    <row r="39" spans="1:43" ht="18" customHeight="1">
      <c r="A39" s="1"/>
      <c r="B39" s="1"/>
      <c r="C39" s="1"/>
      <c r="D39" s="1"/>
      <c r="E39" s="1"/>
      <c r="F39" s="1"/>
      <c r="G39" s="6">
        <f t="shared" si="0"/>
        <v>-13.800000000000022</v>
      </c>
      <c r="H39" s="7">
        <v>0.74299999999999999</v>
      </c>
      <c r="I39" s="8">
        <f t="shared" si="1"/>
        <v>-3.8000000000000034</v>
      </c>
      <c r="J39" s="7">
        <v>23.91</v>
      </c>
      <c r="K39" s="8">
        <f t="shared" si="2"/>
        <v>6.2000000000000028</v>
      </c>
      <c r="L39" s="7">
        <v>3.9910000000000001</v>
      </c>
      <c r="M39" s="8">
        <f t="shared" si="3"/>
        <v>16.199999999999978</v>
      </c>
      <c r="N39" s="10">
        <v>0.51829999999999998</v>
      </c>
      <c r="O39" s="1"/>
      <c r="P39" s="6">
        <f t="shared" si="4"/>
        <v>-13.800000000000022</v>
      </c>
      <c r="Q39" s="7">
        <v>0.66920000000000002</v>
      </c>
      <c r="R39" s="8">
        <f t="shared" si="5"/>
        <v>-3.8000000000000034</v>
      </c>
      <c r="S39" s="7">
        <v>22.92</v>
      </c>
      <c r="T39" s="8">
        <f t="shared" si="6"/>
        <v>6.2000000000000028</v>
      </c>
      <c r="U39" s="7">
        <v>3.61</v>
      </c>
      <c r="V39" s="8">
        <f t="shared" si="7"/>
        <v>16.199999999999978</v>
      </c>
      <c r="W39" s="10">
        <v>0.434</v>
      </c>
      <c r="X39" s="1"/>
      <c r="AQ39" s="3"/>
    </row>
    <row r="40" spans="1:43" ht="18" customHeight="1">
      <c r="A40" s="1"/>
      <c r="B40" s="1"/>
      <c r="C40" s="1"/>
      <c r="D40" s="1"/>
      <c r="E40" s="1"/>
      <c r="F40" s="1"/>
      <c r="G40" s="6">
        <f t="shared" si="0"/>
        <v>-13.600000000000023</v>
      </c>
      <c r="H40" s="7">
        <v>0.71</v>
      </c>
      <c r="I40" s="8">
        <f t="shared" si="1"/>
        <v>-3.6000000000000032</v>
      </c>
      <c r="J40" s="7">
        <v>14.83</v>
      </c>
      <c r="K40" s="8">
        <f t="shared" si="2"/>
        <v>6.400000000000003</v>
      </c>
      <c r="L40" s="7">
        <v>2.198</v>
      </c>
      <c r="M40" s="8">
        <f t="shared" si="3"/>
        <v>16.399999999999977</v>
      </c>
      <c r="N40" s="10">
        <v>0.62539999999999996</v>
      </c>
      <c r="O40" s="1"/>
      <c r="P40" s="6">
        <f t="shared" si="4"/>
        <v>-13.600000000000023</v>
      </c>
      <c r="Q40" s="7">
        <v>0.63129999999999997</v>
      </c>
      <c r="R40" s="8">
        <f t="shared" si="5"/>
        <v>-3.6000000000000032</v>
      </c>
      <c r="S40" s="7">
        <v>9.2899999999999991</v>
      </c>
      <c r="T40" s="8">
        <f t="shared" si="6"/>
        <v>6.400000000000003</v>
      </c>
      <c r="U40" s="7">
        <v>2.121</v>
      </c>
      <c r="V40" s="8">
        <f t="shared" si="7"/>
        <v>16.399999999999977</v>
      </c>
      <c r="W40" s="10">
        <v>0.59</v>
      </c>
      <c r="X40" s="1"/>
      <c r="AQ40" s="3"/>
    </row>
    <row r="41" spans="1:43" ht="18" customHeight="1">
      <c r="A41" s="1"/>
      <c r="B41" s="1"/>
      <c r="C41" s="1"/>
      <c r="D41" s="1"/>
      <c r="E41" s="1"/>
      <c r="F41" s="1"/>
      <c r="G41" s="6">
        <f t="shared" si="0"/>
        <v>-13.400000000000023</v>
      </c>
      <c r="H41" s="7">
        <v>0.77400000000000002</v>
      </c>
      <c r="I41" s="8">
        <f t="shared" si="1"/>
        <v>-3.400000000000003</v>
      </c>
      <c r="J41" s="7">
        <v>2.66</v>
      </c>
      <c r="K41" s="8">
        <f t="shared" si="2"/>
        <v>6.6000000000000032</v>
      </c>
      <c r="L41" s="7">
        <v>0.91500000000000004</v>
      </c>
      <c r="M41" s="8">
        <f t="shared" si="3"/>
        <v>16.599999999999977</v>
      </c>
      <c r="N41" s="10">
        <v>0.72739999999999994</v>
      </c>
      <c r="O41" s="1"/>
      <c r="P41" s="6">
        <f t="shared" si="4"/>
        <v>-13.400000000000023</v>
      </c>
      <c r="Q41" s="7">
        <v>0.67389999999999994</v>
      </c>
      <c r="R41" s="8">
        <f t="shared" si="5"/>
        <v>-3.400000000000003</v>
      </c>
      <c r="S41" s="7">
        <v>2.4300000000000002</v>
      </c>
      <c r="T41" s="8">
        <f t="shared" si="6"/>
        <v>6.6000000000000032</v>
      </c>
      <c r="U41" s="7">
        <v>0.998</v>
      </c>
      <c r="V41" s="8">
        <f t="shared" si="7"/>
        <v>16.599999999999977</v>
      </c>
      <c r="W41" s="10">
        <v>0.70199999999999996</v>
      </c>
      <c r="X41" s="1"/>
      <c r="AQ41" s="3"/>
    </row>
    <row r="42" spans="1:43" ht="18" customHeight="1">
      <c r="A42" s="1"/>
      <c r="B42" s="1"/>
      <c r="C42" s="1"/>
      <c r="D42" s="1"/>
      <c r="E42" s="1"/>
      <c r="F42" s="1"/>
      <c r="G42" s="6">
        <f t="shared" si="0"/>
        <v>-13.200000000000024</v>
      </c>
      <c r="H42" s="7">
        <v>0.69799999999999995</v>
      </c>
      <c r="I42" s="8">
        <f t="shared" si="1"/>
        <v>-3.2000000000000028</v>
      </c>
      <c r="J42" s="7">
        <v>14.29</v>
      </c>
      <c r="K42" s="8">
        <f t="shared" si="2"/>
        <v>6.8000000000000034</v>
      </c>
      <c r="L42" s="7">
        <v>1.3049999999999999</v>
      </c>
      <c r="M42" s="8">
        <f t="shared" si="3"/>
        <v>16.799999999999976</v>
      </c>
      <c r="N42" s="10">
        <v>0.74860000000000004</v>
      </c>
      <c r="O42" s="1"/>
      <c r="P42" s="6">
        <f t="shared" si="4"/>
        <v>-13.200000000000024</v>
      </c>
      <c r="Q42" s="7">
        <v>0.61299999999999999</v>
      </c>
      <c r="R42" s="8">
        <f t="shared" si="5"/>
        <v>-3.2000000000000028</v>
      </c>
      <c r="S42" s="7">
        <v>11.04</v>
      </c>
      <c r="T42" s="8">
        <f t="shared" si="6"/>
        <v>6.8000000000000034</v>
      </c>
      <c r="U42" s="7">
        <v>1.3859999999999999</v>
      </c>
      <c r="V42" s="8">
        <f t="shared" si="7"/>
        <v>16.799999999999976</v>
      </c>
      <c r="W42" s="10">
        <v>0.73799999999999999</v>
      </c>
      <c r="X42" s="1"/>
      <c r="AQ42" s="3"/>
    </row>
    <row r="43" spans="1:43" ht="18" customHeight="1">
      <c r="A43" s="1"/>
      <c r="B43" s="1"/>
      <c r="C43" s="1"/>
      <c r="D43" s="1"/>
      <c r="E43" s="1"/>
      <c r="F43" s="1"/>
      <c r="G43" s="6">
        <f t="shared" si="0"/>
        <v>-13.000000000000025</v>
      </c>
      <c r="H43" s="7">
        <v>0.44600000000000001</v>
      </c>
      <c r="I43" s="8">
        <f t="shared" si="1"/>
        <v>-3.0000000000000027</v>
      </c>
      <c r="J43" s="7">
        <v>45.84</v>
      </c>
      <c r="K43" s="8">
        <f t="shared" si="2"/>
        <v>7.0000000000000036</v>
      </c>
      <c r="L43" s="7">
        <v>3.3860000000000001</v>
      </c>
      <c r="M43" s="8">
        <f t="shared" si="3"/>
        <v>16.999999999999975</v>
      </c>
      <c r="N43" s="10">
        <v>0.53660000000000008</v>
      </c>
      <c r="O43" s="1"/>
      <c r="P43" s="6">
        <f t="shared" si="4"/>
        <v>-13.000000000000025</v>
      </c>
      <c r="Q43" s="7">
        <v>0.39200000000000002</v>
      </c>
      <c r="R43" s="8">
        <f t="shared" si="5"/>
        <v>-3.0000000000000027</v>
      </c>
      <c r="S43" s="7">
        <v>29.34</v>
      </c>
      <c r="T43" s="8">
        <f t="shared" si="6"/>
        <v>7.0000000000000036</v>
      </c>
      <c r="U43" s="7">
        <v>3.9489999999999998</v>
      </c>
      <c r="V43" s="8">
        <f t="shared" si="7"/>
        <v>16.999999999999975</v>
      </c>
      <c r="W43" s="10">
        <v>0.68100000000000005</v>
      </c>
      <c r="X43" s="1"/>
      <c r="AQ43" s="3"/>
    </row>
    <row r="44" spans="1:43" ht="18" customHeight="1">
      <c r="A44" s="1"/>
      <c r="B44" s="1"/>
      <c r="C44" s="1"/>
      <c r="D44" s="1"/>
      <c r="E44" s="1"/>
      <c r="F44" s="1"/>
      <c r="G44" s="6">
        <f t="shared" si="0"/>
        <v>-12.800000000000026</v>
      </c>
      <c r="H44" s="7">
        <v>0.221</v>
      </c>
      <c r="I44" s="8">
        <f t="shared" si="1"/>
        <v>-2.8000000000000025</v>
      </c>
      <c r="J44" s="7">
        <v>67.3</v>
      </c>
      <c r="K44" s="8">
        <f t="shared" si="2"/>
        <v>7.2000000000000037</v>
      </c>
      <c r="L44" s="7">
        <v>6.3470000000000004</v>
      </c>
      <c r="M44" s="8">
        <f t="shared" si="3"/>
        <v>17.199999999999974</v>
      </c>
      <c r="N44" s="10">
        <v>0.34689999999999999</v>
      </c>
      <c r="O44" s="1"/>
      <c r="P44" s="6">
        <f t="shared" si="4"/>
        <v>-12.800000000000026</v>
      </c>
      <c r="Q44" s="7">
        <v>0.20599999999999999</v>
      </c>
      <c r="R44" s="8">
        <f t="shared" si="5"/>
        <v>-2.8000000000000025</v>
      </c>
      <c r="S44" s="7">
        <v>58.19</v>
      </c>
      <c r="T44" s="8">
        <f t="shared" si="6"/>
        <v>7.2000000000000037</v>
      </c>
      <c r="U44" s="7">
        <v>6.65</v>
      </c>
      <c r="V44" s="8">
        <f t="shared" si="7"/>
        <v>17.199999999999974</v>
      </c>
      <c r="W44" s="10">
        <v>0.48399999999999999</v>
      </c>
      <c r="X44" s="1"/>
      <c r="AQ44" s="3"/>
    </row>
    <row r="45" spans="1:43" ht="18" customHeight="1">
      <c r="A45" s="1"/>
      <c r="B45" s="1"/>
      <c r="C45" s="1"/>
      <c r="D45" s="1"/>
      <c r="E45" s="1"/>
      <c r="F45" s="1"/>
      <c r="G45" s="6">
        <f t="shared" si="0"/>
        <v>-12.600000000000026</v>
      </c>
      <c r="H45" s="7">
        <v>0.35299999999999998</v>
      </c>
      <c r="I45" s="8">
        <f t="shared" si="1"/>
        <v>-2.6000000000000023</v>
      </c>
      <c r="J45" s="7">
        <v>61.04</v>
      </c>
      <c r="K45" s="8">
        <f t="shared" si="2"/>
        <v>7.4000000000000039</v>
      </c>
      <c r="L45" s="7">
        <v>8.048</v>
      </c>
      <c r="M45" s="8">
        <f t="shared" si="3"/>
        <v>17.399999999999974</v>
      </c>
      <c r="N45" s="10">
        <v>0.2046</v>
      </c>
      <c r="O45" s="1"/>
      <c r="P45" s="6">
        <f t="shared" si="4"/>
        <v>-12.600000000000026</v>
      </c>
      <c r="Q45" s="7">
        <v>0.29860000000000003</v>
      </c>
      <c r="R45" s="8">
        <f t="shared" si="5"/>
        <v>-2.6000000000000023</v>
      </c>
      <c r="S45" s="7">
        <v>62.61</v>
      </c>
      <c r="T45" s="8">
        <f t="shared" si="6"/>
        <v>7.4000000000000039</v>
      </c>
      <c r="U45" s="7">
        <v>7.8520000000000003</v>
      </c>
      <c r="V45" s="8">
        <f t="shared" si="7"/>
        <v>17.399999999999974</v>
      </c>
      <c r="W45" s="10">
        <v>0.24099999999999999</v>
      </c>
      <c r="X45" s="1"/>
      <c r="AQ45" s="3"/>
    </row>
    <row r="46" spans="1:43" ht="18" customHeight="1">
      <c r="A46" s="1"/>
      <c r="B46" s="1"/>
      <c r="C46" s="1"/>
      <c r="D46" s="1"/>
      <c r="E46" s="1"/>
      <c r="F46" s="1"/>
      <c r="G46" s="6">
        <f t="shared" si="0"/>
        <v>-12.400000000000027</v>
      </c>
      <c r="H46" s="7">
        <v>0.73699999999999999</v>
      </c>
      <c r="I46" s="8">
        <f t="shared" si="1"/>
        <v>-2.4000000000000021</v>
      </c>
      <c r="J46" s="7">
        <v>32.03</v>
      </c>
      <c r="K46" s="8">
        <f t="shared" si="2"/>
        <v>7.6000000000000041</v>
      </c>
      <c r="L46" s="7">
        <v>7.0060000000000002</v>
      </c>
      <c r="M46" s="8">
        <f t="shared" si="3"/>
        <v>17.599999999999973</v>
      </c>
      <c r="N46" s="10">
        <v>0.20369999999999999</v>
      </c>
      <c r="O46" s="1"/>
      <c r="P46" s="6">
        <f t="shared" si="4"/>
        <v>-12.400000000000027</v>
      </c>
      <c r="Q46" s="7">
        <v>0.78</v>
      </c>
      <c r="R46" s="8">
        <f t="shared" si="5"/>
        <v>-2.4000000000000021</v>
      </c>
      <c r="S46" s="7">
        <v>43.81</v>
      </c>
      <c r="T46" s="8">
        <f t="shared" si="6"/>
        <v>7.6000000000000041</v>
      </c>
      <c r="U46" s="7">
        <v>6.1539999999999999</v>
      </c>
      <c r="V46" s="8">
        <f t="shared" si="7"/>
        <v>17.599999999999973</v>
      </c>
      <c r="W46" s="10">
        <v>0.19</v>
      </c>
      <c r="X46" s="1"/>
      <c r="AQ46" s="3"/>
    </row>
    <row r="47" spans="1:43" ht="18" customHeight="1">
      <c r="A47" s="1"/>
      <c r="B47" s="1"/>
      <c r="C47" s="1"/>
      <c r="D47" s="1"/>
      <c r="E47" s="1"/>
      <c r="F47" s="1"/>
      <c r="G47" s="6">
        <f t="shared" si="0"/>
        <v>-12.200000000000028</v>
      </c>
      <c r="H47" s="7">
        <v>1.1439999999999999</v>
      </c>
      <c r="I47" s="8">
        <f t="shared" si="1"/>
        <v>-2.200000000000002</v>
      </c>
      <c r="J47" s="7">
        <v>6.98</v>
      </c>
      <c r="K47" s="8">
        <f t="shared" si="2"/>
        <v>7.8000000000000043</v>
      </c>
      <c r="L47" s="7">
        <v>3.468</v>
      </c>
      <c r="M47" s="8">
        <f t="shared" si="3"/>
        <v>17.799999999999972</v>
      </c>
      <c r="N47" s="10">
        <v>0.44430000000000003</v>
      </c>
      <c r="O47" s="1"/>
      <c r="P47" s="6">
        <f t="shared" si="4"/>
        <v>-12.200000000000028</v>
      </c>
      <c r="Q47" s="7">
        <v>1.052</v>
      </c>
      <c r="R47" s="8">
        <f t="shared" si="5"/>
        <v>-2.200000000000002</v>
      </c>
      <c r="S47" s="7">
        <v>9.48</v>
      </c>
      <c r="T47" s="8">
        <f t="shared" si="6"/>
        <v>7.8000000000000043</v>
      </c>
      <c r="U47" s="7">
        <v>3.2040000000000002</v>
      </c>
      <c r="V47" s="8">
        <f t="shared" si="7"/>
        <v>17.799999999999972</v>
      </c>
      <c r="W47" s="10">
        <v>0.436</v>
      </c>
      <c r="X47" s="1"/>
      <c r="AQ47" s="3"/>
    </row>
    <row r="48" spans="1:43" ht="18" customHeight="1">
      <c r="A48" s="1"/>
      <c r="B48" s="1"/>
      <c r="C48" s="1"/>
      <c r="D48" s="1"/>
      <c r="E48" s="1"/>
      <c r="F48" s="1"/>
      <c r="G48" s="6">
        <f t="shared" si="0"/>
        <v>-12.000000000000028</v>
      </c>
      <c r="H48" s="7">
        <v>1.1459999999999999</v>
      </c>
      <c r="I48" s="8">
        <f t="shared" si="1"/>
        <v>-2.0000000000000018</v>
      </c>
      <c r="J48" s="7">
        <v>14.63</v>
      </c>
      <c r="K48" s="8">
        <f t="shared" si="2"/>
        <v>8.0000000000000036</v>
      </c>
      <c r="L48" s="7">
        <v>0.71099999999999997</v>
      </c>
      <c r="M48" s="8">
        <f t="shared" si="3"/>
        <v>17.999999999999972</v>
      </c>
      <c r="N48" s="10">
        <v>0.76579999999999993</v>
      </c>
      <c r="O48" s="1"/>
      <c r="P48" s="6">
        <f t="shared" si="4"/>
        <v>-12.000000000000028</v>
      </c>
      <c r="Q48" s="7">
        <v>0.93</v>
      </c>
      <c r="R48" s="8">
        <f t="shared" si="5"/>
        <v>-2.0000000000000018</v>
      </c>
      <c r="S48" s="7">
        <v>12.17</v>
      </c>
      <c r="T48" s="8">
        <f t="shared" si="6"/>
        <v>8.0000000000000036</v>
      </c>
      <c r="U48" s="7">
        <v>0.83199999999999996</v>
      </c>
      <c r="V48" s="8">
        <f t="shared" si="7"/>
        <v>17.999999999999972</v>
      </c>
      <c r="W48" s="10">
        <v>0.73099999999999998</v>
      </c>
      <c r="X48" s="1"/>
      <c r="AQ48" s="3"/>
    </row>
    <row r="49" spans="1:43" ht="18" customHeight="1">
      <c r="A49" s="1"/>
      <c r="B49" s="1"/>
      <c r="C49" s="1"/>
      <c r="D49" s="1"/>
      <c r="E49" s="1"/>
      <c r="F49" s="1"/>
      <c r="G49" s="6">
        <f t="shared" si="0"/>
        <v>-11.800000000000029</v>
      </c>
      <c r="H49" s="7">
        <v>0.84799999999999998</v>
      </c>
      <c r="I49" s="8">
        <f t="shared" si="1"/>
        <v>-1.8000000000000018</v>
      </c>
      <c r="J49" s="7">
        <v>54.37</v>
      </c>
      <c r="K49" s="8">
        <f t="shared" si="2"/>
        <v>8.2000000000000028</v>
      </c>
      <c r="L49" s="7">
        <v>3.758</v>
      </c>
      <c r="M49" s="8">
        <f t="shared" si="3"/>
        <v>18.199999999999971</v>
      </c>
      <c r="N49" s="10">
        <v>0.87379999999999991</v>
      </c>
      <c r="O49" s="1"/>
      <c r="P49" s="6">
        <f t="shared" si="4"/>
        <v>-11.800000000000029</v>
      </c>
      <c r="Q49" s="7">
        <v>0.61899999999999999</v>
      </c>
      <c r="R49" s="8">
        <f t="shared" si="5"/>
        <v>-1.8000000000000018</v>
      </c>
      <c r="S49" s="7">
        <v>55.41</v>
      </c>
      <c r="T49" s="8">
        <f t="shared" si="6"/>
        <v>8.2000000000000028</v>
      </c>
      <c r="U49" s="7">
        <v>1.173</v>
      </c>
      <c r="V49" s="8">
        <f t="shared" si="7"/>
        <v>18.199999999999971</v>
      </c>
      <c r="W49" s="10">
        <v>0.83499999999999996</v>
      </c>
      <c r="X49" s="1"/>
      <c r="AQ49" s="3"/>
    </row>
    <row r="50" spans="1:43" ht="18" customHeight="1">
      <c r="A50" s="1"/>
      <c r="B50" s="1"/>
      <c r="C50" s="1"/>
      <c r="D50" s="1"/>
      <c r="E50" s="1"/>
      <c r="F50" s="1"/>
      <c r="G50" s="6">
        <f t="shared" si="0"/>
        <v>-11.60000000000003</v>
      </c>
      <c r="H50" s="7">
        <v>0.57199999999999995</v>
      </c>
      <c r="I50" s="8">
        <f t="shared" si="1"/>
        <v>-1.6000000000000019</v>
      </c>
      <c r="J50" s="7">
        <v>111.79</v>
      </c>
      <c r="K50" s="8">
        <f t="shared" si="2"/>
        <v>8.4000000000000021</v>
      </c>
      <c r="L50" s="7">
        <v>6.2830000000000004</v>
      </c>
      <c r="M50" s="8">
        <f t="shared" si="3"/>
        <v>18.39999999999997</v>
      </c>
      <c r="N50" s="10">
        <v>0.629</v>
      </c>
      <c r="O50" s="1"/>
      <c r="P50" s="6">
        <f t="shared" si="4"/>
        <v>-11.60000000000003</v>
      </c>
      <c r="Q50" s="7">
        <v>0.48</v>
      </c>
      <c r="R50" s="8">
        <f t="shared" si="5"/>
        <v>-1.6000000000000019</v>
      </c>
      <c r="S50" s="7">
        <v>101.84</v>
      </c>
      <c r="T50" s="8">
        <f t="shared" si="6"/>
        <v>8.4000000000000021</v>
      </c>
      <c r="U50" s="7">
        <v>4.6509999999999998</v>
      </c>
      <c r="V50" s="8">
        <f t="shared" si="7"/>
        <v>18.39999999999997</v>
      </c>
      <c r="W50" s="10">
        <v>0.58499999999999996</v>
      </c>
      <c r="X50" s="1"/>
      <c r="AQ50" s="3"/>
    </row>
    <row r="51" spans="1:43" ht="18" customHeight="1">
      <c r="A51" s="1"/>
      <c r="B51" s="1"/>
      <c r="C51" s="1"/>
      <c r="D51" s="1"/>
      <c r="E51" s="1"/>
      <c r="F51" s="1"/>
      <c r="G51" s="6">
        <f t="shared" si="0"/>
        <v>-11.400000000000031</v>
      </c>
      <c r="H51" s="7">
        <v>0.53900000000000003</v>
      </c>
      <c r="I51" s="8">
        <f t="shared" si="1"/>
        <v>-1.4000000000000019</v>
      </c>
      <c r="J51" s="7">
        <v>115.95</v>
      </c>
      <c r="K51" s="8">
        <f t="shared" si="2"/>
        <v>8.6000000000000014</v>
      </c>
      <c r="L51" s="7">
        <v>7.5579999999999998</v>
      </c>
      <c r="M51" s="8">
        <f t="shared" si="3"/>
        <v>18.599999999999969</v>
      </c>
      <c r="N51" s="10">
        <v>0.29339999999999999</v>
      </c>
      <c r="O51" s="1"/>
      <c r="P51" s="6">
        <f t="shared" si="4"/>
        <v>-11.400000000000031</v>
      </c>
      <c r="Q51" s="7">
        <v>0.52300000000000002</v>
      </c>
      <c r="R51" s="8">
        <f t="shared" si="5"/>
        <v>-1.4000000000000019</v>
      </c>
      <c r="S51" s="7">
        <v>118.65</v>
      </c>
      <c r="T51" s="8">
        <f t="shared" si="6"/>
        <v>8.6000000000000014</v>
      </c>
      <c r="U51" s="7">
        <v>7.3010000000000002</v>
      </c>
      <c r="V51" s="8">
        <f t="shared" si="7"/>
        <v>18.599999999999969</v>
      </c>
      <c r="W51" s="10">
        <v>0.2319</v>
      </c>
      <c r="X51" s="1"/>
      <c r="AQ51" s="3"/>
    </row>
    <row r="52" spans="1:43" ht="18" customHeight="1">
      <c r="A52" s="1"/>
      <c r="B52" s="1"/>
      <c r="C52" s="1"/>
      <c r="D52" s="1"/>
      <c r="E52" s="1"/>
      <c r="F52" s="1"/>
      <c r="G52" s="6">
        <f t="shared" si="0"/>
        <v>-11.200000000000031</v>
      </c>
      <c r="H52" s="7">
        <v>0.66100000000000003</v>
      </c>
      <c r="I52" s="8">
        <f t="shared" si="1"/>
        <v>-1.200000000000002</v>
      </c>
      <c r="J52" s="7">
        <v>78.44</v>
      </c>
      <c r="K52" s="8">
        <f t="shared" si="2"/>
        <v>8.8000000000000007</v>
      </c>
      <c r="L52" s="7">
        <v>6.0839999999999996</v>
      </c>
      <c r="M52" s="8">
        <f t="shared" si="3"/>
        <v>18.799999999999969</v>
      </c>
      <c r="N52" s="10">
        <v>8.3000000000000004E-2</v>
      </c>
      <c r="O52" s="1"/>
      <c r="P52" s="6">
        <f t="shared" si="4"/>
        <v>-11.200000000000031</v>
      </c>
      <c r="Q52" s="7">
        <v>0.64900000000000002</v>
      </c>
      <c r="R52" s="8">
        <f t="shared" si="5"/>
        <v>-1.200000000000002</v>
      </c>
      <c r="S52" s="7">
        <v>84.94</v>
      </c>
      <c r="T52" s="8">
        <f t="shared" si="6"/>
        <v>8.8000000000000007</v>
      </c>
      <c r="U52" s="7">
        <v>6.9991000000000003</v>
      </c>
      <c r="V52" s="8">
        <f t="shared" si="7"/>
        <v>18.799999999999969</v>
      </c>
      <c r="W52" s="10">
        <v>7.8E-2</v>
      </c>
      <c r="X52" s="1"/>
      <c r="AQ52" s="3"/>
    </row>
    <row r="53" spans="1:43" ht="18" customHeight="1">
      <c r="A53" s="1"/>
      <c r="B53" s="1"/>
      <c r="C53" s="1"/>
      <c r="D53" s="1"/>
      <c r="E53" s="1"/>
      <c r="F53" s="1"/>
      <c r="G53" s="6">
        <f t="shared" si="0"/>
        <v>-11.000000000000032</v>
      </c>
      <c r="H53" s="7">
        <v>0.873</v>
      </c>
      <c r="I53" s="8">
        <f t="shared" si="1"/>
        <v>-1.000000000000002</v>
      </c>
      <c r="J53" s="7">
        <v>21.67</v>
      </c>
      <c r="K53" s="8">
        <f t="shared" si="2"/>
        <v>9</v>
      </c>
      <c r="L53" s="7">
        <v>2.681</v>
      </c>
      <c r="M53" s="8">
        <f t="shared" si="3"/>
        <v>18.999999999999968</v>
      </c>
      <c r="N53" s="10">
        <v>0.17849999999999999</v>
      </c>
      <c r="O53" s="1"/>
      <c r="P53" s="6">
        <f t="shared" si="4"/>
        <v>-11.000000000000032</v>
      </c>
      <c r="Q53" s="7">
        <v>0.88800000000000001</v>
      </c>
      <c r="R53" s="8">
        <f t="shared" si="5"/>
        <v>-1.000000000000002</v>
      </c>
      <c r="S53" s="7">
        <v>22.51</v>
      </c>
      <c r="T53" s="8">
        <f t="shared" si="6"/>
        <v>9</v>
      </c>
      <c r="U53" s="7">
        <v>4.2190000000000003</v>
      </c>
      <c r="V53" s="8">
        <f t="shared" si="7"/>
        <v>18.999999999999968</v>
      </c>
      <c r="W53" s="10">
        <v>0.19400000000000001</v>
      </c>
      <c r="X53" s="1"/>
      <c r="AQ53" s="3"/>
    </row>
    <row r="54" spans="1:43" ht="18" customHeight="1">
      <c r="A54" s="1"/>
      <c r="B54" s="1"/>
      <c r="C54" s="1"/>
      <c r="D54" s="1"/>
      <c r="E54" s="1"/>
      <c r="F54" s="1"/>
      <c r="G54" s="6">
        <f t="shared" si="0"/>
        <v>-10.800000000000033</v>
      </c>
      <c r="H54" s="7">
        <v>1.264</v>
      </c>
      <c r="I54" s="8">
        <f t="shared" si="1"/>
        <v>-0.80000000000000204</v>
      </c>
      <c r="J54" s="7">
        <v>15.55</v>
      </c>
      <c r="K54" s="8">
        <f t="shared" si="2"/>
        <v>9.1999999999999993</v>
      </c>
      <c r="L54" s="7">
        <v>1.038</v>
      </c>
      <c r="M54" s="8">
        <f t="shared" si="3"/>
        <v>19.199999999999967</v>
      </c>
      <c r="N54" s="10">
        <v>0.45939999999999998</v>
      </c>
      <c r="O54" s="1"/>
      <c r="P54" s="6">
        <f t="shared" si="4"/>
        <v>-10.800000000000033</v>
      </c>
      <c r="Q54" s="7">
        <v>1.3979999999999999</v>
      </c>
      <c r="R54" s="8">
        <f t="shared" si="5"/>
        <v>-0.80000000000000204</v>
      </c>
      <c r="S54" s="7">
        <v>9.02</v>
      </c>
      <c r="T54" s="8">
        <f t="shared" si="6"/>
        <v>9.1999999999999993</v>
      </c>
      <c r="U54" s="7">
        <v>1.1180000000000001</v>
      </c>
      <c r="V54" s="8">
        <f t="shared" si="7"/>
        <v>19.199999999999967</v>
      </c>
      <c r="W54" s="10">
        <v>0.48</v>
      </c>
      <c r="X54" s="1"/>
      <c r="AQ54" s="3"/>
    </row>
    <row r="55" spans="1:43" ht="18" customHeight="1">
      <c r="A55" s="1"/>
      <c r="B55" s="1"/>
      <c r="C55" s="1"/>
      <c r="D55" s="1"/>
      <c r="E55" s="1"/>
      <c r="F55" s="1"/>
      <c r="G55" s="6">
        <f t="shared" si="0"/>
        <v>-10.600000000000033</v>
      </c>
      <c r="H55" s="7">
        <v>1.956</v>
      </c>
      <c r="I55" s="8">
        <f t="shared" si="1"/>
        <v>-0.60000000000000209</v>
      </c>
      <c r="J55" s="7">
        <v>60.59</v>
      </c>
      <c r="K55" s="8">
        <f t="shared" si="2"/>
        <v>9.3999999999999986</v>
      </c>
      <c r="L55" s="7">
        <v>0.79100000000000004</v>
      </c>
      <c r="M55" s="8">
        <f t="shared" si="3"/>
        <v>19.399999999999967</v>
      </c>
      <c r="N55" s="10">
        <v>0.5697000000000001</v>
      </c>
      <c r="O55" s="1"/>
      <c r="P55" s="6">
        <f t="shared" si="4"/>
        <v>-10.600000000000033</v>
      </c>
      <c r="Q55" s="7">
        <v>2.278</v>
      </c>
      <c r="R55" s="8">
        <f t="shared" si="5"/>
        <v>-0.60000000000000209</v>
      </c>
      <c r="S55" s="7">
        <v>45.55</v>
      </c>
      <c r="T55" s="8">
        <f t="shared" si="6"/>
        <v>9.3999999999999986</v>
      </c>
      <c r="U55" s="7">
        <v>0.84299999999999997</v>
      </c>
      <c r="V55" s="8">
        <f t="shared" si="7"/>
        <v>19.399999999999967</v>
      </c>
      <c r="W55" s="10">
        <v>0.57399999999999995</v>
      </c>
      <c r="X55" s="1"/>
      <c r="AQ55" s="3"/>
    </row>
    <row r="56" spans="1:43" ht="18" customHeight="1">
      <c r="A56" s="1"/>
      <c r="B56" s="1"/>
      <c r="C56" s="1"/>
      <c r="D56" s="1"/>
      <c r="E56" s="1"/>
      <c r="F56" s="1"/>
      <c r="G56" s="6">
        <f t="shared" si="0"/>
        <v>-10.400000000000034</v>
      </c>
      <c r="H56" s="7">
        <v>2.8079999999999998</v>
      </c>
      <c r="I56" s="8">
        <f t="shared" si="1"/>
        <v>-0.40000000000000208</v>
      </c>
      <c r="J56" s="7">
        <v>131.59</v>
      </c>
      <c r="K56" s="8">
        <f t="shared" si="2"/>
        <v>9.5999999999999979</v>
      </c>
      <c r="L56" s="7">
        <v>2.242</v>
      </c>
      <c r="M56" s="8">
        <f t="shared" si="3"/>
        <v>19.599999999999966</v>
      </c>
      <c r="N56" s="10">
        <v>0.48360000000000003</v>
      </c>
      <c r="O56" s="1"/>
      <c r="P56" s="6">
        <f t="shared" si="4"/>
        <v>-10.400000000000034</v>
      </c>
      <c r="Q56" s="7">
        <v>2.5859999999999999</v>
      </c>
      <c r="R56" s="8">
        <f t="shared" si="5"/>
        <v>-0.40000000000000208</v>
      </c>
      <c r="S56" s="7">
        <v>127.1</v>
      </c>
      <c r="T56" s="8">
        <f t="shared" si="6"/>
        <v>9.5999999999999979</v>
      </c>
      <c r="U56" s="7">
        <v>2.254</v>
      </c>
      <c r="V56" s="8">
        <f t="shared" si="7"/>
        <v>19.599999999999966</v>
      </c>
      <c r="W56" s="10">
        <v>0.46</v>
      </c>
      <c r="X56" s="1"/>
      <c r="AQ56" s="3"/>
    </row>
    <row r="57" spans="1:43" ht="18" customHeight="1">
      <c r="A57" s="1"/>
      <c r="B57" s="1"/>
      <c r="C57" s="1"/>
      <c r="D57" s="1"/>
      <c r="E57" s="1"/>
      <c r="F57" s="1"/>
      <c r="G57" s="6">
        <f t="shared" si="0"/>
        <v>-10.200000000000035</v>
      </c>
      <c r="H57" s="7">
        <v>2.9089999999999998</v>
      </c>
      <c r="I57" s="8">
        <f t="shared" si="1"/>
        <v>-0.20000000000000207</v>
      </c>
      <c r="J57" s="7">
        <v>155.29</v>
      </c>
      <c r="K57" s="8">
        <f t="shared" si="2"/>
        <v>9.7999999999999972</v>
      </c>
      <c r="L57" s="7">
        <v>3.6230000000000002</v>
      </c>
      <c r="M57" s="8">
        <f t="shared" si="3"/>
        <v>19.799999999999965</v>
      </c>
      <c r="N57" s="10">
        <v>0.24909999999999999</v>
      </c>
      <c r="O57" s="1"/>
      <c r="P57" s="6">
        <f t="shared" si="4"/>
        <v>-10.200000000000035</v>
      </c>
      <c r="Q57" s="7">
        <v>2.2519999999999998</v>
      </c>
      <c r="R57" s="8">
        <f t="shared" si="5"/>
        <v>-0.20000000000000207</v>
      </c>
      <c r="S57" s="7">
        <v>155.04</v>
      </c>
      <c r="T57" s="8">
        <f t="shared" si="6"/>
        <v>9.7999999999999972</v>
      </c>
      <c r="U57" s="7">
        <v>3.5609999999999999</v>
      </c>
      <c r="V57" s="8">
        <v>19.8</v>
      </c>
      <c r="W57" s="10">
        <v>0.2382</v>
      </c>
      <c r="X57" s="1"/>
      <c r="AQ57" s="3"/>
    </row>
    <row r="58" spans="1:43" ht="18" customHeight="1" thickBot="1">
      <c r="A58" s="1"/>
      <c r="B58" s="1"/>
      <c r="C58" s="1"/>
      <c r="D58" s="1"/>
      <c r="E58" s="1"/>
      <c r="F58" s="1"/>
      <c r="G58" s="98"/>
      <c r="H58" s="99"/>
      <c r="I58" s="99"/>
      <c r="J58" s="99"/>
      <c r="K58" s="99"/>
      <c r="L58" s="90"/>
      <c r="M58" s="11">
        <f t="shared" si="3"/>
        <v>19.999999999999964</v>
      </c>
      <c r="N58" s="12">
        <v>0.1144</v>
      </c>
      <c r="O58" s="1"/>
      <c r="P58" s="98"/>
      <c r="Q58" s="99"/>
      <c r="R58" s="99"/>
      <c r="S58" s="99"/>
      <c r="T58" s="99"/>
      <c r="U58" s="90"/>
      <c r="V58" s="11">
        <f t="shared" si="7"/>
        <v>20</v>
      </c>
      <c r="W58" s="12">
        <v>0.1026</v>
      </c>
      <c r="X58" s="1"/>
      <c r="AQ58" s="3"/>
    </row>
    <row r="59" spans="1:43" ht="18" customHeight="1" thickTop="1">
      <c r="A59" s="1"/>
      <c r="B59" s="1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AQ59" s="3"/>
    </row>
    <row r="60" spans="1:43" ht="18" customHeight="1">
      <c r="A60" s="1"/>
      <c r="B60" s="1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AQ60" s="3"/>
    </row>
    <row r="61" spans="1:43" ht="18" customHeight="1">
      <c r="A61" s="1"/>
      <c r="B61" s="1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Q61" s="3"/>
    </row>
    <row r="62" spans="1:43" ht="18" customHeight="1">
      <c r="A62" s="1"/>
      <c r="B62" s="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AQ62" s="3"/>
    </row>
    <row r="63" spans="1:43" ht="18" customHeight="1">
      <c r="A63" s="1"/>
      <c r="B63" s="1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AQ63" s="3"/>
    </row>
    <row r="64" spans="1:43" ht="18" customHeight="1">
      <c r="A64" s="1"/>
      <c r="B64" s="1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AQ64" s="3"/>
    </row>
    <row r="65" spans="1:43" ht="18" customHeight="1">
      <c r="A65" s="1"/>
      <c r="B65" s="1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AQ65" s="3"/>
    </row>
    <row r="66" spans="1:43" ht="18" customHeight="1">
      <c r="A66" s="1"/>
      <c r="B66" s="1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AQ66" s="3"/>
    </row>
    <row r="67" spans="1:43" ht="18" customHeight="1">
      <c r="A67" s="1"/>
      <c r="B67" s="1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AQ67" s="3"/>
    </row>
    <row r="68" spans="1:43" ht="18" customHeight="1">
      <c r="A68" s="1"/>
      <c r="B68" s="1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AQ68" s="3"/>
    </row>
    <row r="69" spans="1:43" ht="18" customHeight="1">
      <c r="A69" s="1"/>
      <c r="B69" s="1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AQ69" s="3"/>
    </row>
    <row r="70" spans="1:43" ht="18" customHeight="1">
      <c r="A70" s="1"/>
      <c r="B70" s="13"/>
      <c r="C70" s="1"/>
      <c r="D70" s="1"/>
      <c r="E70" s="1"/>
      <c r="X70" s="1"/>
      <c r="AQ70" s="3"/>
    </row>
    <row r="71" spans="1:43" ht="18" customHeight="1">
      <c r="A71" s="1"/>
      <c r="B71" s="1"/>
      <c r="C71" s="1"/>
      <c r="D71" s="1"/>
      <c r="E71" s="1"/>
      <c r="X71" s="1"/>
      <c r="AQ71" s="3"/>
    </row>
    <row r="72" spans="1:43" ht="18" customHeight="1">
      <c r="A72" s="1"/>
      <c r="B72" s="1"/>
      <c r="C72" s="1"/>
      <c r="D72" s="1"/>
      <c r="E72" s="1"/>
      <c r="X72" s="1"/>
      <c r="AQ72" s="3"/>
    </row>
    <row r="73" spans="1:43" ht="18" customHeight="1">
      <c r="A73" s="1"/>
      <c r="B73" s="1"/>
      <c r="C73" s="1"/>
      <c r="D73" s="1"/>
      <c r="E73" s="1"/>
      <c r="X73" s="1"/>
      <c r="AQ73" s="3"/>
    </row>
    <row r="74" spans="1:43" ht="18" customHeight="1">
      <c r="A74" s="1"/>
      <c r="B74" s="1"/>
      <c r="C74" s="1"/>
      <c r="D74" s="1"/>
      <c r="E74" s="1"/>
      <c r="X74" s="1"/>
      <c r="AQ74" s="3"/>
    </row>
    <row r="75" spans="1:43" ht="18" customHeight="1">
      <c r="A75" s="1"/>
      <c r="B75" s="1"/>
      <c r="C75" s="1"/>
      <c r="D75" s="1"/>
      <c r="E75" s="1"/>
      <c r="X75" s="1"/>
      <c r="AQ75" s="3"/>
    </row>
    <row r="76" spans="1:43" ht="18" customHeight="1">
      <c r="A76" s="1"/>
      <c r="B76" s="1"/>
      <c r="C76" s="1"/>
      <c r="D76" s="1"/>
      <c r="E76" s="1"/>
      <c r="X76" s="1"/>
      <c r="AQ76" s="3"/>
    </row>
    <row r="77" spans="1:43" ht="18" customHeight="1">
      <c r="A77" s="1"/>
      <c r="B77" s="1"/>
      <c r="C77" s="1"/>
      <c r="D77" s="1"/>
      <c r="E77" s="1"/>
      <c r="X77" s="1"/>
      <c r="AQ77" s="3"/>
    </row>
    <row r="78" spans="1:43" ht="18" customHeight="1">
      <c r="A78" s="1"/>
      <c r="B78" s="1"/>
      <c r="C78" s="1"/>
      <c r="D78" s="1"/>
      <c r="E78" s="1"/>
      <c r="X78" s="1"/>
      <c r="AQ78" s="3"/>
    </row>
    <row r="79" spans="1:43" ht="18" customHeight="1">
      <c r="A79" s="1"/>
      <c r="B79" s="1"/>
      <c r="C79" s="1"/>
      <c r="D79" s="1"/>
      <c r="E79" s="1"/>
      <c r="X79" s="1"/>
      <c r="AQ79" s="3"/>
    </row>
    <row r="80" spans="1:43" ht="18" customHeight="1">
      <c r="A80" s="1"/>
      <c r="B80" s="1"/>
      <c r="C80" s="1"/>
      <c r="D80" s="1"/>
      <c r="E80" s="1"/>
      <c r="X80" s="1"/>
      <c r="AQ80" s="3"/>
    </row>
    <row r="81" spans="1:43" ht="18" customHeight="1">
      <c r="A81" s="1"/>
      <c r="B81" s="1"/>
      <c r="C81" s="1"/>
      <c r="D81" s="1"/>
      <c r="E81" s="1"/>
      <c r="X81" s="1"/>
      <c r="AQ81" s="3"/>
    </row>
    <row r="82" spans="1:43" ht="18" customHeight="1">
      <c r="A82" s="1"/>
      <c r="B82" s="1"/>
      <c r="C82" s="1"/>
      <c r="D82" s="1"/>
      <c r="E82" s="1"/>
      <c r="X82" s="1"/>
      <c r="AQ82" s="3"/>
    </row>
    <row r="83" spans="1:43" ht="18" customHeight="1">
      <c r="A83" s="1"/>
      <c r="B83" s="1"/>
      <c r="C83" s="1"/>
      <c r="D83" s="1"/>
      <c r="E83" s="1"/>
      <c r="X83" s="1"/>
      <c r="AQ83" s="3"/>
    </row>
    <row r="84" spans="1:43" ht="18" customHeight="1">
      <c r="A84" s="1"/>
      <c r="B84" s="1"/>
      <c r="C84" s="1"/>
      <c r="D84" s="1"/>
      <c r="E84" s="1"/>
      <c r="X84" s="1"/>
      <c r="AQ84" s="3"/>
    </row>
    <row r="85" spans="1:43" ht="18" customHeight="1">
      <c r="A85" s="1"/>
      <c r="B85" s="1"/>
      <c r="C85" s="1"/>
      <c r="D85" s="1"/>
      <c r="E85" s="1"/>
      <c r="X85" s="1"/>
      <c r="AQ85" s="3"/>
    </row>
    <row r="86" spans="1:43" ht="18" customHeight="1">
      <c r="A86" s="1"/>
      <c r="B86" s="13"/>
      <c r="C86" s="1"/>
      <c r="D86" s="1"/>
      <c r="E86" s="1"/>
      <c r="X86" s="1"/>
      <c r="AQ86" s="3"/>
    </row>
    <row r="87" spans="1:43" ht="18" customHeight="1">
      <c r="A87" s="1"/>
      <c r="B87" s="1"/>
      <c r="C87" s="1"/>
      <c r="D87" s="1"/>
      <c r="E87" s="1"/>
      <c r="X87" s="1"/>
      <c r="AQ87" s="3"/>
    </row>
    <row r="88" spans="1:43" ht="18" customHeight="1">
      <c r="A88" s="1"/>
      <c r="B88" s="1"/>
      <c r="C88" s="1"/>
      <c r="D88" s="1"/>
      <c r="E88" s="1"/>
      <c r="X88" s="1"/>
      <c r="AQ88" s="3"/>
    </row>
    <row r="89" spans="1:43" ht="18" customHeight="1">
      <c r="A89" s="1"/>
      <c r="B89" s="1"/>
      <c r="C89" s="1"/>
      <c r="D89" s="1"/>
      <c r="E89" s="1"/>
      <c r="X89" s="1"/>
      <c r="AQ89" s="3"/>
    </row>
    <row r="90" spans="1:43" ht="18" customHeight="1">
      <c r="A90" s="1"/>
      <c r="B90" s="1"/>
      <c r="C90" s="1"/>
      <c r="D90" s="1"/>
      <c r="E90" s="1"/>
      <c r="X90" s="1"/>
      <c r="AQ90" s="3"/>
    </row>
    <row r="91" spans="1:43" ht="18" customHeight="1">
      <c r="A91" s="1"/>
      <c r="B91" s="1"/>
      <c r="C91" s="1"/>
      <c r="D91" s="1"/>
      <c r="E91" s="1"/>
      <c r="X91" s="1"/>
      <c r="AQ91" s="3"/>
    </row>
    <row r="92" spans="1:43" ht="18" customHeight="1">
      <c r="A92" s="1"/>
      <c r="B92" s="1"/>
      <c r="C92" s="1"/>
      <c r="D92" s="1"/>
      <c r="E92" s="1"/>
      <c r="X92" s="1"/>
      <c r="AQ92" s="3"/>
    </row>
    <row r="93" spans="1:43" ht="18" customHeight="1">
      <c r="A93" s="1"/>
      <c r="B93" s="1"/>
      <c r="C93" s="1"/>
      <c r="D93" s="1"/>
      <c r="E93" s="1"/>
      <c r="X93" s="1"/>
      <c r="AQ93" s="3"/>
    </row>
    <row r="94" spans="1:43" ht="18" customHeight="1">
      <c r="A94" s="1"/>
      <c r="B94" s="1"/>
      <c r="C94" s="1"/>
      <c r="D94" s="1"/>
      <c r="E94" s="1"/>
      <c r="X94" s="1"/>
      <c r="AQ94" s="3"/>
    </row>
    <row r="95" spans="1:43" ht="18" customHeight="1">
      <c r="A95" s="1"/>
      <c r="B95" s="1"/>
      <c r="C95" s="1"/>
      <c r="D95" s="1"/>
      <c r="E95" s="1"/>
      <c r="F95" s="1"/>
      <c r="G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X95" s="1"/>
      <c r="AQ95" s="3"/>
    </row>
    <row r="96" spans="1:43" ht="18" customHeight="1" thickBot="1">
      <c r="A96" s="1"/>
      <c r="B96" s="1"/>
      <c r="C96" s="1"/>
      <c r="D96" s="1"/>
      <c r="E96" s="2" t="s">
        <v>9</v>
      </c>
      <c r="F96" s="1"/>
      <c r="G96" s="1"/>
      <c r="H96" s="1"/>
      <c r="I96" s="1"/>
      <c r="J96" s="39"/>
      <c r="K96" s="1"/>
      <c r="L96" s="1"/>
      <c r="M96" s="1"/>
      <c r="N96" s="2" t="s">
        <v>10</v>
      </c>
      <c r="O96" s="1"/>
      <c r="P96" s="1"/>
      <c r="Q96" s="1"/>
      <c r="R96" s="1"/>
      <c r="S96" s="39"/>
      <c r="T96" s="1"/>
      <c r="X96" s="1"/>
      <c r="AQ96" s="3"/>
    </row>
    <row r="97" spans="1:43" ht="18" customHeight="1" thickTop="1">
      <c r="A97" s="1"/>
      <c r="B97" s="13"/>
      <c r="C97" s="1"/>
      <c r="D97" s="1"/>
      <c r="E97" s="14"/>
      <c r="F97" s="15" t="s">
        <v>11</v>
      </c>
      <c r="G97" s="15" t="s">
        <v>12</v>
      </c>
      <c r="H97" s="15" t="s">
        <v>13</v>
      </c>
      <c r="I97" s="15" t="s">
        <v>14</v>
      </c>
      <c r="J97" s="15" t="s">
        <v>15</v>
      </c>
      <c r="K97" s="16" t="s">
        <v>16</v>
      </c>
      <c r="L97" s="1"/>
      <c r="M97" s="1"/>
      <c r="N97" s="14"/>
      <c r="O97" s="15" t="s">
        <v>11</v>
      </c>
      <c r="P97" s="15" t="s">
        <v>12</v>
      </c>
      <c r="Q97" s="15" t="s">
        <v>13</v>
      </c>
      <c r="R97" s="15" t="s">
        <v>14</v>
      </c>
      <c r="S97" s="15" t="s">
        <v>15</v>
      </c>
      <c r="T97" s="16" t="s">
        <v>16</v>
      </c>
      <c r="X97" s="1"/>
      <c r="AQ97" s="3"/>
    </row>
    <row r="98" spans="1:43" ht="18" customHeight="1">
      <c r="A98" s="1"/>
      <c r="B98" s="1"/>
      <c r="C98" s="1"/>
      <c r="D98" s="1"/>
      <c r="E98" s="38" t="s">
        <v>60</v>
      </c>
      <c r="F98" s="7">
        <v>-1.2</v>
      </c>
      <c r="G98" s="7">
        <v>-2.6</v>
      </c>
      <c r="H98" s="7">
        <v>-3.6</v>
      </c>
      <c r="I98" s="7">
        <v>-5</v>
      </c>
      <c r="J98" s="40"/>
      <c r="K98" s="7">
        <v>-5.8</v>
      </c>
      <c r="L98" s="1"/>
      <c r="M98" s="1"/>
      <c r="N98" s="17" t="s">
        <v>17</v>
      </c>
      <c r="O98" s="7">
        <v>-1.2</v>
      </c>
      <c r="P98" s="7">
        <v>-2.4</v>
      </c>
      <c r="Q98" s="7">
        <v>-3.6</v>
      </c>
      <c r="R98" s="7">
        <v>-4.2</v>
      </c>
      <c r="S98" s="40"/>
      <c r="T98" s="7">
        <v>-4.5999999999999996</v>
      </c>
      <c r="X98" s="1"/>
      <c r="AQ98" s="3"/>
    </row>
    <row r="99" spans="1:43" ht="18" customHeight="1">
      <c r="A99" s="1"/>
      <c r="B99" s="1"/>
      <c r="C99" s="1"/>
      <c r="D99" s="1"/>
      <c r="E99" s="17" t="s">
        <v>18</v>
      </c>
      <c r="F99" s="7">
        <v>1.4</v>
      </c>
      <c r="G99" s="7">
        <v>2.4</v>
      </c>
      <c r="H99" s="7">
        <v>3.8</v>
      </c>
      <c r="I99" s="7">
        <v>5</v>
      </c>
      <c r="J99" s="40"/>
      <c r="K99" s="7">
        <v>5.6</v>
      </c>
      <c r="L99" s="1"/>
      <c r="M99" s="1"/>
      <c r="N99" s="17" t="s">
        <v>19</v>
      </c>
      <c r="O99" s="7">
        <v>1.2</v>
      </c>
      <c r="P99" s="7">
        <v>2.6</v>
      </c>
      <c r="Q99" s="7">
        <v>3.8</v>
      </c>
      <c r="R99" s="7">
        <v>4.8</v>
      </c>
      <c r="S99" s="40"/>
      <c r="T99" s="7">
        <v>5.6</v>
      </c>
      <c r="X99" s="1"/>
      <c r="AQ99" s="3"/>
    </row>
    <row r="100" spans="1:43" ht="18" customHeight="1" thickBot="1">
      <c r="A100" s="1"/>
      <c r="B100" s="1"/>
      <c r="C100" s="1"/>
      <c r="D100" s="1"/>
      <c r="E100" s="18" t="s">
        <v>20</v>
      </c>
      <c r="F100" s="19">
        <f>ABS((F98-F99)/2/G6)</f>
        <v>2.5999999999999994E-3</v>
      </c>
      <c r="G100" s="19">
        <f>ABS((G98-G99)/2/G6)</f>
        <v>5.0000000000000001E-3</v>
      </c>
      <c r="H100" s="19">
        <f>ABS((H98-H99)/2/G6)</f>
        <v>7.4000000000000003E-3</v>
      </c>
      <c r="I100" s="19">
        <f>ABS((I98-I99)/2/G6)</f>
        <v>0.01</v>
      </c>
      <c r="J100" s="19">
        <f>ABS((J98-J99)/2/G6)</f>
        <v>0</v>
      </c>
      <c r="K100" s="20">
        <f>ABS((K98-K99)/2/G6)</f>
        <v>1.1399999999999999E-2</v>
      </c>
      <c r="L100" s="1"/>
      <c r="M100" s="1"/>
      <c r="N100" s="18" t="s">
        <v>20</v>
      </c>
      <c r="O100" s="19">
        <f>ABS((O98-O99)/2/P6)</f>
        <v>2.3999999999999998E-3</v>
      </c>
      <c r="P100" s="19">
        <f>ABS((P98-P99)/2/P6)</f>
        <v>5.0000000000000001E-3</v>
      </c>
      <c r="Q100" s="19">
        <f>ABS((Q98-Q99)/2/P6)</f>
        <v>7.4000000000000003E-3</v>
      </c>
      <c r="R100" s="19">
        <f>ABS((R98-R99)/2/P6)</f>
        <v>8.9999999999999993E-3</v>
      </c>
      <c r="S100" s="19">
        <f>ABS((S98-S99)/2/P6)</f>
        <v>0</v>
      </c>
      <c r="T100" s="20">
        <f>ABS((T98-T99)/2/P6)</f>
        <v>1.0199999999999999E-2</v>
      </c>
      <c r="X100" s="1"/>
      <c r="AQ100" s="3"/>
    </row>
    <row r="101" spans="1:43" ht="18" customHeight="1" thickTop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X101" s="1"/>
      <c r="AQ101" s="3"/>
    </row>
    <row r="102" spans="1:43" ht="18" customHeight="1" thickBot="1">
      <c r="A102" s="1"/>
      <c r="B102" s="1"/>
      <c r="C102" s="1"/>
      <c r="D102" s="1"/>
      <c r="E102" s="2" t="s">
        <v>21</v>
      </c>
      <c r="F102" s="1"/>
      <c r="G102" s="1"/>
      <c r="H102" s="1"/>
      <c r="I102" s="1"/>
      <c r="J102" s="1"/>
      <c r="K102" s="1"/>
      <c r="L102" s="1"/>
      <c r="M102" s="1"/>
      <c r="N102" s="2" t="s">
        <v>22</v>
      </c>
      <c r="O102" s="1"/>
      <c r="P102" s="1"/>
      <c r="Q102" s="1"/>
      <c r="R102" s="1"/>
      <c r="S102" s="1"/>
      <c r="T102" s="1"/>
      <c r="X102" s="1"/>
      <c r="AQ102" s="3"/>
    </row>
    <row r="103" spans="1:43" ht="18" customHeight="1" thickTop="1">
      <c r="A103" s="1"/>
      <c r="B103" s="1"/>
      <c r="C103" s="1"/>
      <c r="D103" s="1"/>
      <c r="E103" s="14"/>
      <c r="F103" s="15" t="s">
        <v>11</v>
      </c>
      <c r="G103" s="15" t="s">
        <v>12</v>
      </c>
      <c r="H103" s="15" t="s">
        <v>13</v>
      </c>
      <c r="I103" s="15" t="s">
        <v>14</v>
      </c>
      <c r="J103" s="15" t="s">
        <v>15</v>
      </c>
      <c r="K103" s="16" t="s">
        <v>16</v>
      </c>
      <c r="L103" s="1"/>
      <c r="M103" s="1"/>
      <c r="N103" s="14"/>
      <c r="O103" s="15" t="s">
        <v>11</v>
      </c>
      <c r="P103" s="15" t="s">
        <v>12</v>
      </c>
      <c r="Q103" s="15" t="s">
        <v>13</v>
      </c>
      <c r="R103" s="15" t="s">
        <v>14</v>
      </c>
      <c r="S103" s="15" t="s">
        <v>15</v>
      </c>
      <c r="T103" s="16" t="s">
        <v>16</v>
      </c>
      <c r="X103" s="1"/>
      <c r="AQ103" s="3"/>
    </row>
    <row r="104" spans="1:43" ht="18" customHeight="1">
      <c r="A104" s="1"/>
      <c r="B104" s="1"/>
      <c r="C104" s="1"/>
      <c r="D104" s="1"/>
      <c r="E104" s="17" t="s">
        <v>23</v>
      </c>
      <c r="F104" s="8">
        <f>G6*M6/K6*-1</f>
        <v>-1.27</v>
      </c>
      <c r="G104" s="8">
        <f>G6*M6*2/K6*-1</f>
        <v>-2.54</v>
      </c>
      <c r="H104" s="1">
        <f>G6*M6*3/K6*-1</f>
        <v>-3.81</v>
      </c>
      <c r="I104" s="8">
        <f>G6*M6*4/K6*-1</f>
        <v>-5.08</v>
      </c>
      <c r="J104" s="8">
        <f>G6*M6*5/K6*-1</f>
        <v>-6.35</v>
      </c>
      <c r="K104" s="21">
        <f>G6*M6/I6*-1</f>
        <v>-6.35</v>
      </c>
      <c r="L104" s="1"/>
      <c r="M104" s="1"/>
      <c r="N104" s="17" t="s">
        <v>24</v>
      </c>
      <c r="O104" s="8">
        <f>P6*V6/T6*-1</f>
        <v>-1.27</v>
      </c>
      <c r="P104" s="8">
        <f>P6*V6*2/T6*-1</f>
        <v>-2.54</v>
      </c>
      <c r="Q104" s="8">
        <f>P6*V6*3/T6*-1</f>
        <v>-3.81</v>
      </c>
      <c r="R104" s="8">
        <f>P6*V6*4/T6*-1</f>
        <v>-5.08</v>
      </c>
      <c r="S104" s="8">
        <f>P6*V6*5/T6*-1</f>
        <v>-6.35</v>
      </c>
      <c r="T104" s="21">
        <f>P6*V6/R6*-1</f>
        <v>-6.35</v>
      </c>
      <c r="X104" s="1"/>
      <c r="AQ104" s="3"/>
    </row>
    <row r="105" spans="1:43" ht="18" customHeight="1">
      <c r="A105" s="1"/>
      <c r="B105" s="1"/>
      <c r="C105" s="1"/>
      <c r="D105" s="1"/>
      <c r="E105" s="17" t="s">
        <v>25</v>
      </c>
      <c r="F105" s="8">
        <f>G6*M6/K6</f>
        <v>1.27</v>
      </c>
      <c r="G105" s="8">
        <f>G6*M6*2/K6</f>
        <v>2.54</v>
      </c>
      <c r="H105" s="1">
        <f>G6*M6*3/K6</f>
        <v>3.81</v>
      </c>
      <c r="I105" s="8">
        <f>G6*M6*4/K6</f>
        <v>5.08</v>
      </c>
      <c r="J105" s="8">
        <f>G6*M6*5/K6</f>
        <v>6.35</v>
      </c>
      <c r="K105" s="21">
        <f>G6*M6/I6</f>
        <v>6.35</v>
      </c>
      <c r="L105" s="1"/>
      <c r="M105" s="1"/>
      <c r="N105" s="17" t="s">
        <v>26</v>
      </c>
      <c r="O105" s="8">
        <f>P6*V6/T6</f>
        <v>1.27</v>
      </c>
      <c r="P105" s="8">
        <f>P6*V6*2/T6</f>
        <v>2.54</v>
      </c>
      <c r="Q105" s="1">
        <f>P6*V6*3/T6*-1</f>
        <v>-3.81</v>
      </c>
      <c r="R105" s="8">
        <f>P6*V6*4/T6</f>
        <v>5.08</v>
      </c>
      <c r="S105" s="8">
        <f>P6*V6*5/T6</f>
        <v>6.35</v>
      </c>
      <c r="T105" s="21">
        <f>P6*V6/R6</f>
        <v>6.35</v>
      </c>
      <c r="X105" s="1"/>
      <c r="AQ105" s="3"/>
    </row>
    <row r="106" spans="1:43" ht="18" customHeight="1" thickBot="1">
      <c r="A106" s="1"/>
      <c r="B106" s="1"/>
      <c r="C106" s="1"/>
      <c r="D106" s="1"/>
      <c r="E106" s="18" t="s">
        <v>20</v>
      </c>
      <c r="F106" s="19">
        <f>ABS((F104-F105)/2/G6)</f>
        <v>2.5400000000000002E-3</v>
      </c>
      <c r="G106" s="19">
        <f>ABS((G104-G105)/2/G6)</f>
        <v>5.0800000000000003E-3</v>
      </c>
      <c r="H106" s="19">
        <f>ABS((H104-H105)/2/G6)</f>
        <v>7.62E-3</v>
      </c>
      <c r="I106" s="19">
        <f>ABS((I104-I105)/2/G6)</f>
        <v>1.0160000000000001E-2</v>
      </c>
      <c r="J106" s="19">
        <f>ABS((J104-J105)/2/G6)</f>
        <v>1.2699999999999999E-2</v>
      </c>
      <c r="K106" s="20">
        <f>ABS((K104-K105)/2/G6)</f>
        <v>1.2699999999999999E-2</v>
      </c>
      <c r="L106" s="1"/>
      <c r="M106" s="1"/>
      <c r="N106" s="18" t="s">
        <v>20</v>
      </c>
      <c r="O106" s="19">
        <f>ABS((O104-O105)/2/P6)</f>
        <v>2.5400000000000002E-3</v>
      </c>
      <c r="P106" s="19">
        <f>ABS((P104-P105)/2/P6)</f>
        <v>5.0800000000000003E-3</v>
      </c>
      <c r="Q106" s="19">
        <f>ABS((Q104-Q105)/2/P6)</f>
        <v>0</v>
      </c>
      <c r="R106" s="19">
        <f>ABS((R104-R105)/2/P6)</f>
        <v>1.0160000000000001E-2</v>
      </c>
      <c r="S106" s="19">
        <f>ABS((S104-S105)/2/P6)</f>
        <v>1.2699999999999999E-2</v>
      </c>
      <c r="T106" s="20">
        <f>ABS((T104-T105)/2/P6)</f>
        <v>1.2699999999999999E-2</v>
      </c>
      <c r="X106" s="1"/>
      <c r="AQ106" s="1"/>
    </row>
    <row r="107" spans="1:43" ht="18" customHeight="1" thickTop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X107" s="1"/>
      <c r="AQ107" s="1"/>
    </row>
    <row r="108" spans="1:43" ht="18" customHeight="1" thickBot="1">
      <c r="A108" s="1"/>
      <c r="B108" s="1"/>
      <c r="C108" s="1"/>
      <c r="D108" s="1"/>
      <c r="E108" s="22" t="s">
        <v>27</v>
      </c>
      <c r="F108" s="1"/>
      <c r="G108" s="1"/>
      <c r="H108" s="1"/>
      <c r="I108" s="1"/>
      <c r="J108" s="1"/>
      <c r="K108" s="1"/>
      <c r="L108" s="1"/>
      <c r="M108" s="1"/>
      <c r="N108" s="22" t="s">
        <v>27</v>
      </c>
      <c r="O108" s="1"/>
      <c r="P108" s="1"/>
      <c r="Q108" s="1"/>
      <c r="R108" s="1"/>
      <c r="S108" s="1"/>
      <c r="T108" s="1"/>
      <c r="X108" s="1"/>
      <c r="AQ108" s="1"/>
    </row>
    <row r="109" spans="1:43" ht="18" customHeight="1" thickTop="1" thickBot="1">
      <c r="A109" s="1"/>
      <c r="B109" s="1"/>
      <c r="C109" s="1"/>
      <c r="D109" s="1"/>
      <c r="E109" s="100"/>
      <c r="F109" s="101"/>
      <c r="G109" s="102"/>
      <c r="H109" s="23" t="s">
        <v>28</v>
      </c>
      <c r="I109" s="23" t="s">
        <v>29</v>
      </c>
      <c r="J109" s="103" t="s">
        <v>30</v>
      </c>
      <c r="K109" s="104"/>
      <c r="L109" s="1"/>
      <c r="M109" s="1"/>
      <c r="N109" s="100"/>
      <c r="O109" s="101"/>
      <c r="P109" s="102"/>
      <c r="Q109" s="23" t="s">
        <v>28</v>
      </c>
      <c r="R109" s="23" t="s">
        <v>29</v>
      </c>
      <c r="S109" s="103" t="s">
        <v>30</v>
      </c>
      <c r="T109" s="104"/>
      <c r="X109" s="1"/>
      <c r="AQ109" s="1"/>
    </row>
    <row r="110" spans="1:43" ht="18" customHeight="1">
      <c r="A110" s="1"/>
      <c r="B110" s="1"/>
      <c r="C110" s="1"/>
      <c r="D110" s="1"/>
      <c r="E110" s="105" t="s">
        <v>4</v>
      </c>
      <c r="F110" s="57"/>
      <c r="G110" s="5" t="s">
        <v>31</v>
      </c>
      <c r="H110" s="43">
        <f>I6</f>
        <v>0.05</v>
      </c>
      <c r="I110" s="24">
        <f>ABS($G6*$M6/K98)</f>
        <v>5.4741379310344833E-2</v>
      </c>
      <c r="J110" s="41">
        <f>ABS((I110-$H110)/$H110*100)</f>
        <v>9.4827586206896601</v>
      </c>
      <c r="K110" s="42"/>
      <c r="L110" s="1"/>
      <c r="M110" s="1"/>
      <c r="N110" s="105" t="s">
        <v>4</v>
      </c>
      <c r="O110" s="57"/>
      <c r="P110" s="5" t="s">
        <v>32</v>
      </c>
      <c r="Q110" s="43">
        <f>R6</f>
        <v>0.05</v>
      </c>
      <c r="R110" s="24">
        <f>ABS($G6*$M6/T98)</f>
        <v>6.9021739130434787E-2</v>
      </c>
      <c r="S110" s="41">
        <f>ABS((R110-$H110)/$H110*100)</f>
        <v>38.04347826086957</v>
      </c>
      <c r="T110" s="42"/>
      <c r="X110" s="1"/>
      <c r="AQ110" s="1"/>
    </row>
    <row r="111" spans="1:43" ht="18" customHeight="1">
      <c r="A111" s="1"/>
      <c r="B111" s="1"/>
      <c r="C111" s="1"/>
      <c r="D111" s="1"/>
      <c r="E111" s="56"/>
      <c r="F111" s="57"/>
      <c r="G111" s="9" t="s">
        <v>33</v>
      </c>
      <c r="H111" s="44"/>
      <c r="I111" s="24">
        <f>ABS(G6*M6/K99)</f>
        <v>5.6696428571428578E-2</v>
      </c>
      <c r="J111" s="41">
        <f>ABS((I111-H110)/H110*100)</f>
        <v>13.392857142857151</v>
      </c>
      <c r="K111" s="42"/>
      <c r="L111" s="1"/>
      <c r="M111" s="1"/>
      <c r="N111" s="56"/>
      <c r="O111" s="57"/>
      <c r="P111" s="9" t="s">
        <v>34</v>
      </c>
      <c r="Q111" s="44"/>
      <c r="R111" s="24">
        <f>ABS(P6*V6/T99)</f>
        <v>5.6696428571428578E-2</v>
      </c>
      <c r="S111" s="41">
        <f>ABS((R111-Q110)/Q110*100)</f>
        <v>13.392857142857151</v>
      </c>
      <c r="T111" s="42"/>
      <c r="X111" s="1"/>
    </row>
    <row r="112" spans="1:43" ht="18" customHeight="1" thickBot="1">
      <c r="A112" s="1"/>
      <c r="B112" s="1"/>
      <c r="C112" s="1"/>
      <c r="D112" s="1"/>
      <c r="E112" s="79"/>
      <c r="F112" s="81"/>
      <c r="G112" s="25" t="s">
        <v>35</v>
      </c>
      <c r="H112" s="45"/>
      <c r="I112" s="26">
        <f>AVERAGE(I110:I111)</f>
        <v>5.5718903940886702E-2</v>
      </c>
      <c r="J112" s="46">
        <f>ABS((I112-H110)/H110*100)</f>
        <v>11.437807881773399</v>
      </c>
      <c r="K112" s="47"/>
      <c r="L112" s="1"/>
      <c r="M112" s="1"/>
      <c r="N112" s="79"/>
      <c r="O112" s="81"/>
      <c r="P112" s="25" t="s">
        <v>35</v>
      </c>
      <c r="Q112" s="45"/>
      <c r="R112" s="26">
        <f>AVERAGE(R110:R111)</f>
        <v>6.2859083850931682E-2</v>
      </c>
      <c r="S112" s="46">
        <f>ABS((R112-Q110)/Q110*100)</f>
        <v>25.718167701863358</v>
      </c>
      <c r="T112" s="47"/>
      <c r="U112" s="1"/>
      <c r="V112" s="1"/>
      <c r="W112" s="1"/>
      <c r="X112" s="1"/>
    </row>
    <row r="113" spans="1:27" ht="18" customHeight="1">
      <c r="A113" s="1"/>
      <c r="B113" s="1"/>
      <c r="C113" s="1"/>
      <c r="D113" s="1"/>
      <c r="E113" s="54" t="s">
        <v>36</v>
      </c>
      <c r="F113" s="55"/>
      <c r="G113" s="27" t="s">
        <v>37</v>
      </c>
      <c r="H113" s="48">
        <f>K6</f>
        <v>0.25</v>
      </c>
      <c r="I113" s="28">
        <f>1*M6/F100</f>
        <v>0.24423076923076931</v>
      </c>
      <c r="J113" s="50">
        <f>ABS((I113-H113)/H113*100)</f>
        <v>2.3076923076922773</v>
      </c>
      <c r="K113" s="51"/>
      <c r="L113" s="1"/>
      <c r="M113" s="1"/>
      <c r="N113" s="54" t="s">
        <v>36</v>
      </c>
      <c r="O113" s="55"/>
      <c r="P113" s="27" t="s">
        <v>38</v>
      </c>
      <c r="Q113" s="48">
        <f>T6</f>
        <v>0.25</v>
      </c>
      <c r="R113" s="28">
        <f>ABS(P6*V6/O98)</f>
        <v>0.26458333333333334</v>
      </c>
      <c r="S113" s="50">
        <f>ABS((R113-Q113)/Q113*100)</f>
        <v>5.8333333333333348</v>
      </c>
      <c r="T113" s="51"/>
      <c r="W113" s="1"/>
      <c r="X113" s="1"/>
    </row>
    <row r="114" spans="1:27" ht="18" customHeight="1">
      <c r="A114" s="1"/>
      <c r="B114" s="1"/>
      <c r="C114" s="1"/>
      <c r="D114" s="1"/>
      <c r="E114" s="56"/>
      <c r="F114" s="57"/>
      <c r="G114" s="9" t="s">
        <v>39</v>
      </c>
      <c r="H114" s="44"/>
      <c r="I114" s="29">
        <f>2*M6/G100</f>
        <v>0.254</v>
      </c>
      <c r="J114" s="41">
        <f>ABS((I114-H113)/H113*100)</f>
        <v>1.6000000000000014</v>
      </c>
      <c r="K114" s="42"/>
      <c r="L114" s="1"/>
      <c r="M114" s="1"/>
      <c r="N114" s="56"/>
      <c r="O114" s="57"/>
      <c r="P114" s="9" t="s">
        <v>40</v>
      </c>
      <c r="Q114" s="44"/>
      <c r="R114" s="29">
        <f>ABS(P6*V6/O99)</f>
        <v>0.26458333333333334</v>
      </c>
      <c r="S114" s="41">
        <f>ABS((R114-Q113)/Q113*100)</f>
        <v>5.8333333333333348</v>
      </c>
      <c r="T114" s="42"/>
      <c r="W114" s="1"/>
      <c r="X114" s="1"/>
    </row>
    <row r="115" spans="1:27" ht="18" customHeight="1" thickBot="1">
      <c r="A115" s="1"/>
      <c r="B115" s="1"/>
      <c r="C115" s="1"/>
      <c r="D115" s="1"/>
      <c r="E115" s="58"/>
      <c r="F115" s="59"/>
      <c r="G115" s="30" t="s">
        <v>35</v>
      </c>
      <c r="H115" s="49"/>
      <c r="I115" s="31">
        <f>AVERAGE(I113:I114)</f>
        <v>0.24911538461538466</v>
      </c>
      <c r="J115" s="52">
        <f>ABS((I115-H113)/H113*100)</f>
        <v>0.35384615384613793</v>
      </c>
      <c r="K115" s="53"/>
      <c r="L115" s="1"/>
      <c r="M115" s="1"/>
      <c r="N115" s="58"/>
      <c r="O115" s="59"/>
      <c r="P115" s="30" t="s">
        <v>35</v>
      </c>
      <c r="Q115" s="49"/>
      <c r="R115" s="31">
        <f>AVERAGE(R113:R114)</f>
        <v>0.26458333333333334</v>
      </c>
      <c r="S115" s="52">
        <f>ABS((R115-Q113)/Q113*100)</f>
        <v>5.8333333333333348</v>
      </c>
      <c r="T115" s="53"/>
      <c r="W115" s="1"/>
      <c r="X115" s="1"/>
    </row>
    <row r="116" spans="1:27" ht="18" customHeight="1" thickTop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</row>
    <row r="117" spans="1:27" ht="18" customHeight="1" thickBot="1">
      <c r="A117" s="1"/>
      <c r="B117" s="1"/>
      <c r="C117" s="1"/>
      <c r="D117" s="1"/>
      <c r="E117" s="22" t="s">
        <v>41</v>
      </c>
      <c r="F117" s="1"/>
      <c r="G117" s="1"/>
      <c r="H117" s="1"/>
      <c r="I117" s="1"/>
      <c r="J117" s="1"/>
      <c r="K117" s="1"/>
      <c r="L117" s="1"/>
      <c r="M117" s="1"/>
      <c r="N117" s="22" t="s">
        <v>41</v>
      </c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</row>
    <row r="118" spans="1:27" ht="18" customHeight="1" thickTop="1">
      <c r="A118" s="1"/>
      <c r="B118" s="1"/>
      <c r="C118" s="1"/>
      <c r="D118" s="1"/>
      <c r="E118" s="67"/>
      <c r="F118" s="69" t="s">
        <v>42</v>
      </c>
      <c r="G118" s="70" t="s">
        <v>43</v>
      </c>
      <c r="H118" s="70" t="s">
        <v>55</v>
      </c>
      <c r="I118" s="70" t="s">
        <v>56</v>
      </c>
      <c r="J118" s="60" t="s">
        <v>57</v>
      </c>
      <c r="K118" s="1"/>
      <c r="L118" s="1"/>
      <c r="M118" s="1"/>
      <c r="N118" s="67"/>
      <c r="O118" s="69" t="s">
        <v>42</v>
      </c>
      <c r="P118" s="70" t="s">
        <v>58</v>
      </c>
      <c r="Q118" s="70" t="s">
        <v>55</v>
      </c>
      <c r="R118" s="70" t="s">
        <v>56</v>
      </c>
      <c r="S118" s="60" t="s">
        <v>57</v>
      </c>
      <c r="T118" s="1"/>
      <c r="W118" s="1"/>
      <c r="X118" s="1"/>
      <c r="Y118" s="1"/>
      <c r="Z118" s="1"/>
      <c r="AA118" s="1"/>
    </row>
    <row r="119" spans="1:27" ht="18" customHeight="1">
      <c r="A119" s="1"/>
      <c r="B119" s="1"/>
      <c r="C119" s="1"/>
      <c r="D119" s="1"/>
      <c r="E119" s="68"/>
      <c r="F119" s="45"/>
      <c r="G119" s="45"/>
      <c r="H119" s="45"/>
      <c r="I119" s="45"/>
      <c r="J119" s="61"/>
      <c r="K119" s="1"/>
      <c r="L119" s="1"/>
      <c r="M119" s="1"/>
      <c r="N119" s="68"/>
      <c r="O119" s="45"/>
      <c r="P119" s="45"/>
      <c r="Q119" s="45"/>
      <c r="R119" s="45"/>
      <c r="S119" s="61"/>
      <c r="T119" s="1"/>
      <c r="W119" s="1"/>
      <c r="X119" s="1"/>
      <c r="Y119" s="1"/>
      <c r="Z119" s="1"/>
      <c r="AA119" s="1"/>
    </row>
    <row r="120" spans="1:27" ht="18" customHeight="1">
      <c r="A120" s="1"/>
      <c r="B120" s="1"/>
      <c r="C120" s="1"/>
      <c r="D120" s="1"/>
      <c r="E120" s="62" t="s">
        <v>44</v>
      </c>
      <c r="F120" s="64">
        <v>155.30000000000001</v>
      </c>
      <c r="G120" s="64">
        <v>116</v>
      </c>
      <c r="H120" s="64">
        <v>134.1</v>
      </c>
      <c r="I120" s="64">
        <v>67.3</v>
      </c>
      <c r="J120" s="65">
        <v>100.8</v>
      </c>
      <c r="K120" s="1"/>
      <c r="L120" s="1"/>
      <c r="M120" s="1"/>
      <c r="N120" s="62" t="s">
        <v>44</v>
      </c>
      <c r="O120" s="64">
        <v>155</v>
      </c>
      <c r="P120" s="64">
        <v>118.7</v>
      </c>
      <c r="Q120" s="64">
        <v>142.6</v>
      </c>
      <c r="R120" s="64">
        <v>62.6</v>
      </c>
      <c r="S120" s="64">
        <v>101.8</v>
      </c>
      <c r="T120" s="1"/>
      <c r="W120" s="1"/>
      <c r="X120" s="1"/>
      <c r="Y120" s="1"/>
      <c r="Z120" s="1"/>
      <c r="AA120" s="1"/>
    </row>
    <row r="121" spans="1:27" ht="18" customHeight="1" thickBot="1">
      <c r="A121" s="1"/>
      <c r="B121" s="1"/>
      <c r="C121" s="1"/>
      <c r="D121" s="1"/>
      <c r="E121" s="63"/>
      <c r="F121" s="49"/>
      <c r="G121" s="49"/>
      <c r="H121" s="49"/>
      <c r="I121" s="49"/>
      <c r="J121" s="66"/>
      <c r="K121" s="1"/>
      <c r="L121" s="1"/>
      <c r="M121" s="1"/>
      <c r="N121" s="63"/>
      <c r="O121" s="49"/>
      <c r="P121" s="49"/>
      <c r="Q121" s="49"/>
      <c r="R121" s="49"/>
      <c r="S121" s="49"/>
      <c r="T121" s="1"/>
      <c r="W121" s="1"/>
      <c r="X121" s="1"/>
      <c r="Y121" s="1"/>
      <c r="Z121" s="1"/>
      <c r="AA121" s="1"/>
    </row>
    <row r="122" spans="1:27" ht="18" customHeight="1" thickTop="1">
      <c r="A122" s="1"/>
      <c r="B122" s="1"/>
      <c r="C122" s="1"/>
      <c r="D122" s="1"/>
      <c r="E122" s="85"/>
      <c r="F122" s="86"/>
      <c r="G122" s="87"/>
      <c r="H122" s="15" t="s">
        <v>28</v>
      </c>
      <c r="I122" s="15" t="s">
        <v>29</v>
      </c>
      <c r="J122" s="16" t="s">
        <v>45</v>
      </c>
      <c r="K122" s="1"/>
      <c r="L122" s="1"/>
      <c r="M122" s="1"/>
      <c r="N122" s="85"/>
      <c r="O122" s="86"/>
      <c r="P122" s="87"/>
      <c r="Q122" s="15" t="s">
        <v>28</v>
      </c>
      <c r="R122" s="15" t="s">
        <v>29</v>
      </c>
      <c r="S122" s="16" t="s">
        <v>45</v>
      </c>
      <c r="T122" s="1"/>
      <c r="W122" s="1"/>
      <c r="X122" s="1"/>
      <c r="Y122" s="1"/>
      <c r="Z122" s="1"/>
      <c r="AA122" s="1"/>
    </row>
    <row r="123" spans="1:27" ht="18" customHeight="1">
      <c r="A123" s="1"/>
      <c r="B123" s="1"/>
      <c r="C123" s="1"/>
      <c r="D123" s="1"/>
      <c r="E123" s="76" t="s">
        <v>46</v>
      </c>
      <c r="F123" s="77"/>
      <c r="G123" s="78"/>
      <c r="H123" s="82">
        <f>((COS(PI()*K6*F105/M6/G6))^2)*((SIN(PI()*I6*F105/M6/G6))^2)/(PI()*I6*F105/M6/G6)^2</f>
        <v>0.87514020008338089</v>
      </c>
      <c r="I123" s="83">
        <f>(G120+H120)/2/F120</f>
        <v>0.80521571152607851</v>
      </c>
      <c r="J123" s="84">
        <f>ABS(I123-H123)/H123*100</f>
        <v>7.9900898793862032</v>
      </c>
      <c r="K123" s="1"/>
      <c r="L123" s="1"/>
      <c r="M123" s="1"/>
      <c r="N123" s="76" t="s">
        <v>46</v>
      </c>
      <c r="O123" s="77"/>
      <c r="P123" s="78"/>
      <c r="Q123" s="82">
        <f>((COS(PI()*T6*O105/V6/P6))^2)*((SIN(PI()*R6*O105/V6/P6))^2)/(PI()*R6*O105/V6/P6)^2</f>
        <v>0.87514020008338089</v>
      </c>
      <c r="R123" s="83">
        <f>(P120+Q120)/2/O120</f>
        <v>0.84290322580645161</v>
      </c>
      <c r="S123" s="84">
        <f>ABS(R123-Q123)/Q123*100</f>
        <v>3.6836354076590054</v>
      </c>
      <c r="T123" s="1"/>
      <c r="W123" s="1"/>
      <c r="X123" s="1"/>
      <c r="Y123" s="1"/>
      <c r="Z123" s="1"/>
      <c r="AA123" s="1"/>
    </row>
    <row r="124" spans="1:27" ht="18" customHeight="1">
      <c r="A124" s="1"/>
      <c r="B124" s="1"/>
      <c r="C124" s="1"/>
      <c r="D124" s="1"/>
      <c r="E124" s="79"/>
      <c r="F124" s="80"/>
      <c r="G124" s="81"/>
      <c r="H124" s="45"/>
      <c r="I124" s="45"/>
      <c r="J124" s="61"/>
      <c r="K124" s="1"/>
      <c r="L124" s="1"/>
      <c r="M124" s="1"/>
      <c r="N124" s="79"/>
      <c r="O124" s="80"/>
      <c r="P124" s="81"/>
      <c r="Q124" s="45"/>
      <c r="R124" s="45"/>
      <c r="S124" s="61"/>
      <c r="T124" s="1"/>
      <c r="W124" s="1"/>
      <c r="X124" s="1"/>
      <c r="Y124" s="1"/>
      <c r="Z124" s="1"/>
      <c r="AA124" s="1"/>
    </row>
    <row r="125" spans="1:27" ht="18" customHeight="1">
      <c r="A125" s="1"/>
      <c r="B125" s="1"/>
      <c r="C125" s="1"/>
      <c r="D125" s="1"/>
      <c r="E125" s="76" t="s">
        <v>47</v>
      </c>
      <c r="F125" s="77"/>
      <c r="G125" s="78"/>
      <c r="H125" s="82">
        <f>((COS(PI()*K6*G105/M6/G6))^2)*((SIN(PI()*I6*G105/M6/G6))^2)/(PI()*I6*G105/M6/G6)^2</f>
        <v>0.57278669718491881</v>
      </c>
      <c r="I125" s="83">
        <f>(I120+J120)/2/F120</f>
        <v>0.54121056020605274</v>
      </c>
      <c r="J125" s="84">
        <f>ABS(I125-H125)/H125*100</f>
        <v>5.512721774799183</v>
      </c>
      <c r="K125" s="1"/>
      <c r="L125" s="1"/>
      <c r="M125" s="1"/>
      <c r="N125" s="76" t="s">
        <v>47</v>
      </c>
      <c r="O125" s="77"/>
      <c r="P125" s="78"/>
      <c r="Q125" s="82">
        <f>((COS(PI()*T6*P105/V6/P6))^2)*((SIN(PI()*R6*P105/V6/P6))^2)/(PI()*R6*P105/V6/P6)^2</f>
        <v>0.57278669718491881</v>
      </c>
      <c r="R125" s="83">
        <f>(R120+S120)/2/O120</f>
        <v>0.53032258064516136</v>
      </c>
      <c r="S125" s="84">
        <f>ABS(R125-Q125)/Q125*100</f>
        <v>7.4136003417077116</v>
      </c>
      <c r="T125" s="1"/>
      <c r="W125" s="1"/>
      <c r="X125" s="1"/>
      <c r="Y125" s="1"/>
      <c r="Z125" s="1"/>
      <c r="AA125" s="1"/>
    </row>
    <row r="126" spans="1:27" ht="18" customHeight="1" thickBot="1">
      <c r="A126" s="1"/>
      <c r="B126" s="1"/>
      <c r="C126" s="1"/>
      <c r="D126" s="1"/>
      <c r="E126" s="79"/>
      <c r="F126" s="80"/>
      <c r="G126" s="81"/>
      <c r="H126" s="45"/>
      <c r="I126" s="45"/>
      <c r="J126" s="61"/>
      <c r="K126" s="1"/>
      <c r="L126" s="1"/>
      <c r="M126" s="1"/>
      <c r="N126" s="58"/>
      <c r="O126" s="88"/>
      <c r="P126" s="59"/>
      <c r="Q126" s="49"/>
      <c r="R126" s="49"/>
      <c r="S126" s="66"/>
      <c r="T126" s="1"/>
      <c r="W126" s="1"/>
      <c r="X126" s="1"/>
      <c r="Y126" s="1"/>
      <c r="Z126" s="1"/>
      <c r="AA126" s="1"/>
    </row>
    <row r="127" spans="1:27" ht="18" customHeight="1" thickTop="1">
      <c r="A127" s="1"/>
      <c r="B127" s="1"/>
      <c r="C127" s="1"/>
      <c r="D127" s="1"/>
      <c r="E127" s="1"/>
      <c r="F127" s="1"/>
      <c r="G127" s="71" t="s">
        <v>48</v>
      </c>
      <c r="H127" s="72"/>
      <c r="I127" s="75" t="s">
        <v>49</v>
      </c>
      <c r="J127" s="72"/>
      <c r="K127" s="1"/>
      <c r="L127" s="1"/>
      <c r="M127" s="1"/>
      <c r="N127" s="1"/>
      <c r="O127" s="1"/>
      <c r="P127" s="71" t="s">
        <v>48</v>
      </c>
      <c r="Q127" s="72"/>
      <c r="R127" s="75" t="s">
        <v>49</v>
      </c>
      <c r="S127" s="72"/>
      <c r="T127" s="1"/>
      <c r="W127" s="1"/>
      <c r="X127" s="1"/>
      <c r="Y127" s="1"/>
      <c r="Z127" s="1"/>
      <c r="AA127" s="1"/>
    </row>
    <row r="128" spans="1:27" ht="18" customHeight="1">
      <c r="A128" s="1"/>
      <c r="B128" s="1"/>
      <c r="C128" s="1"/>
      <c r="D128" s="1"/>
      <c r="E128" s="1"/>
      <c r="F128" s="1" t="s">
        <v>28</v>
      </c>
      <c r="G128" s="73">
        <f>F120*H123</f>
        <v>135.90927307294905</v>
      </c>
      <c r="H128" s="74"/>
      <c r="I128" s="73">
        <f>F120*H125</f>
        <v>88.953774072817893</v>
      </c>
      <c r="J128" s="74"/>
      <c r="K128" s="1"/>
      <c r="L128" s="1"/>
      <c r="M128" s="1"/>
      <c r="N128" s="1"/>
      <c r="O128" s="1" t="s">
        <v>28</v>
      </c>
      <c r="P128" s="73">
        <f>O120*Q123</f>
        <v>135.64673101292405</v>
      </c>
      <c r="Q128" s="74"/>
      <c r="R128" s="73">
        <f>O120*Q125</f>
        <v>88.781938063662423</v>
      </c>
      <c r="S128" s="74"/>
      <c r="T128" s="1"/>
      <c r="W128" s="1"/>
      <c r="X128" s="1"/>
      <c r="Y128" s="1"/>
      <c r="Z128" s="1"/>
      <c r="AA128" s="1"/>
    </row>
    <row r="129" spans="1:27" ht="18" customHeight="1">
      <c r="A129" s="1"/>
      <c r="B129" s="1"/>
      <c r="C129" s="1"/>
      <c r="D129" s="1"/>
      <c r="E129" s="1"/>
      <c r="F129" s="1"/>
      <c r="W129" s="1"/>
      <c r="X129" s="1"/>
      <c r="Y129" s="1"/>
      <c r="Z129" s="1"/>
      <c r="AA129" s="1"/>
    </row>
    <row r="130" spans="1:27" ht="18" customHeight="1">
      <c r="A130" s="1"/>
      <c r="B130" s="1"/>
      <c r="C130" s="1"/>
      <c r="D130" s="1"/>
      <c r="E130" s="1"/>
      <c r="F130" s="1"/>
      <c r="W130" s="1"/>
      <c r="X130" s="1"/>
      <c r="Y130" s="1"/>
      <c r="Z130" s="1"/>
      <c r="AA130" s="1"/>
    </row>
    <row r="131" spans="1:27" ht="18" customHeight="1">
      <c r="A131" s="1"/>
      <c r="B131" s="1"/>
      <c r="C131" s="1"/>
      <c r="D131" s="1"/>
      <c r="E131" s="1"/>
      <c r="F131" s="1"/>
      <c r="W131" s="1"/>
      <c r="X131" s="1"/>
      <c r="Y131" s="1"/>
      <c r="Z131" s="1"/>
      <c r="AA131" s="1"/>
    </row>
    <row r="132" spans="1:27" ht="18" customHeight="1">
      <c r="A132" s="1"/>
      <c r="B132" s="1"/>
      <c r="C132" s="1"/>
      <c r="D132" s="1"/>
      <c r="E132" s="1"/>
      <c r="F132" s="1"/>
      <c r="W132" s="1"/>
      <c r="X132" s="1"/>
      <c r="Y132" s="1"/>
      <c r="Z132" s="1"/>
      <c r="AA132" s="1"/>
    </row>
    <row r="133" spans="1:27" ht="18" customHeight="1">
      <c r="A133" s="1"/>
      <c r="B133" s="1"/>
      <c r="C133" s="1"/>
      <c r="D133" s="1"/>
      <c r="E133" s="1"/>
      <c r="F133" s="1"/>
      <c r="W133" s="1"/>
      <c r="X133" s="1"/>
      <c r="Y133" s="1"/>
      <c r="Z133" s="1"/>
      <c r="AA133" s="1"/>
    </row>
    <row r="134" spans="1:27" ht="18" customHeight="1">
      <c r="A134" s="1"/>
      <c r="B134" s="1"/>
      <c r="C134" s="1"/>
      <c r="D134" s="1"/>
      <c r="E134" s="1"/>
      <c r="F134" s="1"/>
      <c r="W134" s="1"/>
      <c r="X134" s="1"/>
      <c r="Y134" s="1"/>
      <c r="Z134" s="1"/>
      <c r="AA134" s="1"/>
    </row>
    <row r="135" spans="1:27" ht="18" customHeight="1">
      <c r="A135" s="1"/>
      <c r="B135" s="1"/>
      <c r="C135" s="1"/>
      <c r="D135" s="1"/>
      <c r="E135" s="1"/>
      <c r="F135" s="1"/>
      <c r="W135" s="1"/>
      <c r="X135" s="1"/>
      <c r="Y135" s="1"/>
      <c r="Z135" s="1"/>
      <c r="AA135" s="1"/>
    </row>
    <row r="136" spans="1:27" ht="18" customHeight="1">
      <c r="A136" s="1"/>
      <c r="B136" s="1"/>
      <c r="C136" s="1"/>
      <c r="D136" s="1"/>
      <c r="E136" s="1"/>
      <c r="F136" s="1"/>
      <c r="W136" s="1"/>
      <c r="X136" s="1"/>
      <c r="Y136" s="1"/>
      <c r="Z136" s="1"/>
      <c r="AA136" s="1"/>
    </row>
    <row r="137" spans="1:27" ht="18" customHeight="1">
      <c r="A137" s="1"/>
      <c r="B137" s="1"/>
      <c r="C137" s="1"/>
      <c r="D137" s="1"/>
      <c r="E137" s="1"/>
      <c r="F137" s="1"/>
      <c r="W137" s="1"/>
      <c r="X137" s="1"/>
      <c r="Y137" s="1"/>
      <c r="Z137" s="1"/>
      <c r="AA137" s="1"/>
    </row>
    <row r="138" spans="1:27" ht="18" customHeight="1">
      <c r="A138" s="1"/>
      <c r="B138" s="1"/>
      <c r="C138" s="1"/>
      <c r="D138" s="1"/>
      <c r="E138" s="1"/>
      <c r="F138" s="1"/>
      <c r="W138" s="1"/>
      <c r="X138" s="1"/>
      <c r="Y138" s="1"/>
      <c r="Z138" s="1"/>
      <c r="AA138" s="1"/>
    </row>
    <row r="139" spans="1:27" ht="18" customHeight="1">
      <c r="A139" s="1"/>
      <c r="B139" s="1"/>
      <c r="C139" s="1"/>
      <c r="D139" s="1"/>
      <c r="E139" s="1"/>
      <c r="F139" s="1"/>
      <c r="W139" s="1"/>
      <c r="X139" s="1"/>
      <c r="Y139" s="1"/>
      <c r="Z139" s="1"/>
      <c r="AA139" s="1"/>
    </row>
    <row r="140" spans="1:27" ht="18" customHeight="1">
      <c r="A140" s="1"/>
      <c r="B140" s="1"/>
      <c r="C140" s="1"/>
      <c r="D140" s="1"/>
      <c r="E140" s="1"/>
      <c r="F140" s="1"/>
      <c r="W140" s="1"/>
      <c r="X140" s="1"/>
      <c r="Y140" s="1"/>
      <c r="Z140" s="1"/>
      <c r="AA140" s="1"/>
    </row>
    <row r="141" spans="1:27" ht="18" customHeight="1">
      <c r="A141" s="1"/>
      <c r="B141" s="1"/>
      <c r="C141" s="1"/>
      <c r="D141" s="1"/>
      <c r="E141" s="1"/>
      <c r="F141" s="1"/>
      <c r="W141" s="1"/>
      <c r="X141" s="1"/>
      <c r="Y141" s="1"/>
      <c r="Z141" s="1"/>
      <c r="AA141" s="1"/>
    </row>
    <row r="142" spans="1:27" ht="18" customHeight="1">
      <c r="A142" s="1"/>
      <c r="B142" s="1"/>
      <c r="C142" s="1"/>
      <c r="D142" s="1"/>
      <c r="E142" s="1"/>
      <c r="F142" s="1"/>
      <c r="W142" s="1"/>
      <c r="X142" s="1"/>
      <c r="Y142" s="1"/>
      <c r="Z142" s="1"/>
      <c r="AA142" s="1"/>
    </row>
    <row r="143" spans="1:27" ht="18" customHeight="1">
      <c r="A143" s="1"/>
      <c r="B143" s="1"/>
      <c r="C143" s="1"/>
      <c r="D143" s="1"/>
      <c r="E143" s="1"/>
      <c r="F143" s="1"/>
      <c r="W143" s="1"/>
      <c r="X143" s="1"/>
      <c r="Y143" s="1"/>
      <c r="Z143" s="1"/>
      <c r="AA143" s="1"/>
    </row>
    <row r="144" spans="1:27" ht="18" customHeight="1">
      <c r="A144" s="1"/>
      <c r="B144" s="1"/>
      <c r="C144" s="1"/>
      <c r="D144" s="1"/>
      <c r="E144" s="1"/>
      <c r="F144" s="1"/>
      <c r="W144" s="1"/>
      <c r="X144" s="1"/>
      <c r="Y144" s="1"/>
      <c r="Z144" s="1"/>
      <c r="AA144" s="1"/>
    </row>
    <row r="145" spans="1:41" ht="18" customHeight="1">
      <c r="A145" s="1"/>
      <c r="B145" s="1"/>
      <c r="C145" s="1"/>
      <c r="D145" s="1"/>
      <c r="E145" s="1"/>
      <c r="F145" s="1"/>
      <c r="W145" s="1"/>
      <c r="X145" s="1"/>
      <c r="Y145" s="1"/>
      <c r="Z145" s="1"/>
      <c r="AA145" s="1"/>
    </row>
    <row r="146" spans="1:41" ht="18" customHeight="1">
      <c r="A146" s="1"/>
      <c r="B146" s="1"/>
      <c r="C146" s="1"/>
      <c r="D146" s="1"/>
      <c r="E146" s="1"/>
      <c r="F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92">
    <mergeCell ref="E110:F112"/>
    <mergeCell ref="S110:T110"/>
    <mergeCell ref="Q118:Q119"/>
    <mergeCell ref="R118:R119"/>
    <mergeCell ref="S118:S119"/>
    <mergeCell ref="N110:O112"/>
    <mergeCell ref="Q110:Q112"/>
    <mergeCell ref="N113:O115"/>
    <mergeCell ref="Q113:Q115"/>
    <mergeCell ref="N118:N119"/>
    <mergeCell ref="O118:O119"/>
    <mergeCell ref="P118:P119"/>
    <mergeCell ref="S111:T111"/>
    <mergeCell ref="S112:T112"/>
    <mergeCell ref="S113:T113"/>
    <mergeCell ref="S114:T114"/>
    <mergeCell ref="G58:L58"/>
    <mergeCell ref="P58:U58"/>
    <mergeCell ref="E109:G109"/>
    <mergeCell ref="N109:P109"/>
    <mergeCell ref="S109:T109"/>
    <mergeCell ref="J109:K109"/>
    <mergeCell ref="S115:T115"/>
    <mergeCell ref="T4:U5"/>
    <mergeCell ref="V4:W5"/>
    <mergeCell ref="T6:U6"/>
    <mergeCell ref="V6:W6"/>
    <mergeCell ref="G4:H5"/>
    <mergeCell ref="G6:H6"/>
    <mergeCell ref="I6:J6"/>
    <mergeCell ref="K6:L6"/>
    <mergeCell ref="M6:N6"/>
    <mergeCell ref="P6:Q6"/>
    <mergeCell ref="R6:S6"/>
    <mergeCell ref="I4:J5"/>
    <mergeCell ref="K4:L5"/>
    <mergeCell ref="M4:N5"/>
    <mergeCell ref="P4:Q5"/>
    <mergeCell ref="R4:S5"/>
    <mergeCell ref="S120:S121"/>
    <mergeCell ref="N122:P122"/>
    <mergeCell ref="Q125:Q126"/>
    <mergeCell ref="P127:Q127"/>
    <mergeCell ref="P128:Q128"/>
    <mergeCell ref="R127:S127"/>
    <mergeCell ref="R128:S128"/>
    <mergeCell ref="N123:P124"/>
    <mergeCell ref="Q123:Q124"/>
    <mergeCell ref="R123:R124"/>
    <mergeCell ref="S123:S124"/>
    <mergeCell ref="N125:P126"/>
    <mergeCell ref="R125:R126"/>
    <mergeCell ref="S125:S126"/>
    <mergeCell ref="N120:N121"/>
    <mergeCell ref="O120:O121"/>
    <mergeCell ref="P120:P121"/>
    <mergeCell ref="Q120:Q121"/>
    <mergeCell ref="R120:R121"/>
    <mergeCell ref="E122:G122"/>
    <mergeCell ref="H125:H126"/>
    <mergeCell ref="G127:H127"/>
    <mergeCell ref="G128:H128"/>
    <mergeCell ref="I127:J127"/>
    <mergeCell ref="I128:J128"/>
    <mergeCell ref="E123:G124"/>
    <mergeCell ref="H123:H124"/>
    <mergeCell ref="I123:I124"/>
    <mergeCell ref="J123:J124"/>
    <mergeCell ref="E125:G126"/>
    <mergeCell ref="I125:I126"/>
    <mergeCell ref="J125:J126"/>
    <mergeCell ref="E113:F115"/>
    <mergeCell ref="J118:J119"/>
    <mergeCell ref="E120:E121"/>
    <mergeCell ref="F120:F121"/>
    <mergeCell ref="G120:G121"/>
    <mergeCell ref="H120:H121"/>
    <mergeCell ref="I120:I121"/>
    <mergeCell ref="J120:J121"/>
    <mergeCell ref="E118:E119"/>
    <mergeCell ref="F118:F119"/>
    <mergeCell ref="G118:G119"/>
    <mergeCell ref="H118:H119"/>
    <mergeCell ref="I118:I119"/>
    <mergeCell ref="J110:K110"/>
    <mergeCell ref="H110:H112"/>
    <mergeCell ref="J111:K111"/>
    <mergeCell ref="J112:K112"/>
    <mergeCell ref="H113:H115"/>
    <mergeCell ref="J113:K113"/>
    <mergeCell ref="J114:K114"/>
    <mergeCell ref="J115:K115"/>
  </mergeCells>
  <phoneticPr fontId="10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0"/>
  <sheetViews>
    <sheetView workbookViewId="0"/>
  </sheetViews>
  <sheetFormatPr defaultColWidth="11.19921875" defaultRowHeight="15" customHeight="1"/>
  <cols>
    <col min="1" max="7" width="7.59765625" customWidth="1"/>
    <col min="8" max="8" width="9.296875" customWidth="1"/>
    <col min="9" max="40" width="7.59765625" customWidth="1"/>
  </cols>
  <sheetData>
    <row r="1" spans="1:40" ht="18" customHeight="1">
      <c r="A1" s="1"/>
      <c r="B1" s="32" t="s">
        <v>0</v>
      </c>
      <c r="C1" s="1"/>
      <c r="D1" s="1"/>
      <c r="E1" s="1"/>
      <c r="F1" s="1"/>
      <c r="G1" s="1"/>
      <c r="H1" s="1"/>
      <c r="I1" s="1"/>
      <c r="J1" s="1"/>
      <c r="K1" s="1"/>
      <c r="L1" s="32" t="s">
        <v>1</v>
      </c>
      <c r="M1" s="1"/>
      <c r="N1" s="1"/>
      <c r="O1" s="1"/>
      <c r="P1" s="1"/>
      <c r="Q1" s="1"/>
      <c r="R1" s="1"/>
      <c r="S1" s="1"/>
      <c r="T1" s="1"/>
      <c r="U1" s="1"/>
      <c r="V1" s="32"/>
      <c r="W1" s="1"/>
      <c r="X1" s="1"/>
      <c r="Y1" s="1"/>
      <c r="Z1" s="1"/>
      <c r="AA1" s="1"/>
      <c r="AB1" s="1"/>
      <c r="AC1" s="1"/>
      <c r="AD1" s="1"/>
      <c r="AE1" s="1"/>
      <c r="AF1" s="32"/>
      <c r="AG1" s="1"/>
      <c r="AH1" s="1"/>
      <c r="AI1" s="1"/>
      <c r="AJ1" s="1"/>
      <c r="AK1" s="1"/>
      <c r="AL1" s="1"/>
      <c r="AM1" s="1"/>
      <c r="AN1" s="1"/>
    </row>
    <row r="2" spans="1:40" ht="18" customHeight="1">
      <c r="A2" s="1"/>
      <c r="B2" s="108"/>
      <c r="C2" s="86"/>
      <c r="D2" s="87"/>
      <c r="E2" s="106" t="s">
        <v>29</v>
      </c>
      <c r="F2" s="86"/>
      <c r="G2" s="86"/>
      <c r="H2" s="86"/>
      <c r="I2" s="86"/>
      <c r="J2" s="107"/>
      <c r="K2" s="1"/>
      <c r="L2" s="108"/>
      <c r="M2" s="86"/>
      <c r="N2" s="87"/>
      <c r="O2" s="106" t="s">
        <v>29</v>
      </c>
      <c r="P2" s="86"/>
      <c r="Q2" s="86"/>
      <c r="R2" s="86"/>
      <c r="S2" s="86"/>
      <c r="T2" s="107"/>
      <c r="U2" s="1"/>
      <c r="V2" s="33"/>
      <c r="W2" s="33"/>
      <c r="X2" s="33"/>
      <c r="Y2" s="33"/>
      <c r="Z2" s="33"/>
      <c r="AA2" s="33"/>
      <c r="AB2" s="33"/>
      <c r="AC2" s="33"/>
      <c r="AD2" s="33"/>
      <c r="AE2" s="1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8" customHeight="1">
      <c r="A3" s="1"/>
      <c r="B3" s="108" t="s">
        <v>28</v>
      </c>
      <c r="C3" s="87"/>
      <c r="D3" s="15">
        <f>實驗數據!K6</f>
        <v>0.25</v>
      </c>
      <c r="E3" s="15" t="s">
        <v>11</v>
      </c>
      <c r="F3" s="15" t="s">
        <v>12</v>
      </c>
      <c r="G3" s="15" t="s">
        <v>14</v>
      </c>
      <c r="H3" s="15" t="s">
        <v>15</v>
      </c>
      <c r="I3" s="15" t="s">
        <v>50</v>
      </c>
      <c r="J3" s="16" t="s">
        <v>50</v>
      </c>
      <c r="K3" s="1"/>
      <c r="L3" s="108" t="s">
        <v>28</v>
      </c>
      <c r="M3" s="87"/>
      <c r="N3" s="15">
        <f>實驗數據!U6</f>
        <v>0</v>
      </c>
      <c r="O3" s="15" t="s">
        <v>11</v>
      </c>
      <c r="P3" s="15" t="s">
        <v>12</v>
      </c>
      <c r="Q3" s="15" t="s">
        <v>14</v>
      </c>
      <c r="R3" s="15" t="s">
        <v>15</v>
      </c>
      <c r="S3" s="15" t="s">
        <v>50</v>
      </c>
      <c r="T3" s="16" t="s">
        <v>50</v>
      </c>
      <c r="U3" s="1"/>
      <c r="V3" s="33"/>
      <c r="W3" s="33"/>
      <c r="X3" s="1"/>
      <c r="Y3" s="1"/>
      <c r="Z3" s="1"/>
      <c r="AA3" s="1"/>
      <c r="AB3" s="1"/>
      <c r="AC3" s="1"/>
      <c r="AD3" s="1"/>
      <c r="AE3" s="1"/>
      <c r="AF3" s="33"/>
      <c r="AG3" s="33"/>
      <c r="AH3" s="1"/>
      <c r="AI3" s="1"/>
      <c r="AJ3" s="1"/>
      <c r="AK3" s="1"/>
      <c r="AL3" s="1"/>
      <c r="AM3" s="1"/>
      <c r="AN3" s="1"/>
    </row>
    <row r="4" spans="1:40" ht="18" customHeight="1">
      <c r="A4" s="1"/>
      <c r="B4" s="109" t="s">
        <v>36</v>
      </c>
      <c r="C4" s="78"/>
      <c r="D4" s="9" t="s">
        <v>51</v>
      </c>
      <c r="E4" s="9">
        <f>ABS(實驗數據!$G6*實驗數據!$M6/實驗數據!F98)</f>
        <v>0.26458333333333334</v>
      </c>
      <c r="F4" s="9">
        <f>ABS(實驗數據!$G6*實驗數據!$M6*2/實驗數據!G98)</f>
        <v>0.24423076923076922</v>
      </c>
      <c r="G4" s="9">
        <f>ABS(實驗數據!$G6*實驗數據!$M6*4/實驗數據!I98)</f>
        <v>0.254</v>
      </c>
      <c r="H4" s="9" t="e">
        <f>ABS(實驗數據!$G6*實驗數據!$M6*5/實驗數據!J98)</f>
        <v>#DIV/0!</v>
      </c>
      <c r="I4" s="9" t="e">
        <f>AVERAGE(E4:H4)</f>
        <v>#DIV/0!</v>
      </c>
      <c r="J4" s="110" t="e">
        <f>AVERAGE(I4,I6)</f>
        <v>#DIV/0!</v>
      </c>
      <c r="K4" s="1"/>
      <c r="L4" s="109" t="s">
        <v>36</v>
      </c>
      <c r="M4" s="78"/>
      <c r="N4" s="9" t="s">
        <v>52</v>
      </c>
      <c r="O4" s="9">
        <f>ABS(實驗數據!$G6*實驗數據!$M6/實驗數據!P98)</f>
        <v>0.13229166666666667</v>
      </c>
      <c r="P4" s="9">
        <f>ABS(實驗數據!$G6*實驗數據!$M6*2/實驗數據!R98)</f>
        <v>0.15119047619047618</v>
      </c>
      <c r="Q4" s="9" t="e">
        <f>ABS(實驗數據!$G6*實驗數據!$M6*4/實驗數據!S98)</f>
        <v>#DIV/0!</v>
      </c>
      <c r="R4" s="9">
        <f>ABS(實驗數據!$G6*實驗數據!$M6*5/實驗數據!T98)</f>
        <v>0.34510869565217395</v>
      </c>
      <c r="S4" s="9" t="e">
        <f>AVERAGE(O4:R4)</f>
        <v>#DIV/0!</v>
      </c>
      <c r="T4" s="110" t="e">
        <f>AVERAGE(S4,S6)</f>
        <v>#DIV/0!</v>
      </c>
      <c r="U4" s="1"/>
      <c r="V4" s="34"/>
      <c r="W4" s="34"/>
      <c r="X4" s="1"/>
      <c r="Y4" s="1"/>
      <c r="Z4" s="1"/>
      <c r="AA4" s="1"/>
      <c r="AB4" s="1"/>
      <c r="AC4" s="1"/>
      <c r="AD4" s="33"/>
      <c r="AE4" s="1"/>
      <c r="AF4" s="34"/>
      <c r="AG4" s="34"/>
      <c r="AH4" s="1"/>
      <c r="AI4" s="1"/>
      <c r="AJ4" s="1"/>
      <c r="AK4" s="1"/>
      <c r="AL4" s="1"/>
      <c r="AM4" s="1"/>
      <c r="AN4" s="33"/>
    </row>
    <row r="5" spans="1:40" ht="18" customHeight="1">
      <c r="A5" s="1"/>
      <c r="B5" s="56"/>
      <c r="C5" s="57"/>
      <c r="D5" s="9" t="s">
        <v>45</v>
      </c>
      <c r="E5" s="9">
        <f t="shared" ref="E5:I5" si="0">ABS((E4-$D3)/$D3*100)</f>
        <v>5.8333333333333348</v>
      </c>
      <c r="F5" s="9">
        <f t="shared" si="0"/>
        <v>2.3076923076923106</v>
      </c>
      <c r="G5" s="9">
        <f t="shared" si="0"/>
        <v>1.6000000000000014</v>
      </c>
      <c r="H5" s="9" t="e">
        <f t="shared" si="0"/>
        <v>#DIV/0!</v>
      </c>
      <c r="I5" s="9" t="e">
        <f t="shared" si="0"/>
        <v>#DIV/0!</v>
      </c>
      <c r="J5" s="111"/>
      <c r="K5" s="1"/>
      <c r="L5" s="56"/>
      <c r="M5" s="57"/>
      <c r="N5" s="9" t="s">
        <v>45</v>
      </c>
      <c r="O5" s="9">
        <f t="shared" ref="O5:S5" si="1">ABS((O4-$D3)/$D3*100)</f>
        <v>47.083333333333336</v>
      </c>
      <c r="P5" s="9">
        <f t="shared" si="1"/>
        <v>39.523809523809526</v>
      </c>
      <c r="Q5" s="9" t="e">
        <f t="shared" si="1"/>
        <v>#DIV/0!</v>
      </c>
      <c r="R5" s="9">
        <f t="shared" si="1"/>
        <v>38.043478260869577</v>
      </c>
      <c r="S5" s="9" t="e">
        <f t="shared" si="1"/>
        <v>#DIV/0!</v>
      </c>
      <c r="T5" s="111"/>
      <c r="U5" s="1"/>
      <c r="V5" s="34"/>
      <c r="W5" s="34"/>
      <c r="X5" s="1"/>
      <c r="Y5" s="1"/>
      <c r="Z5" s="1"/>
      <c r="AA5" s="1"/>
      <c r="AB5" s="1"/>
      <c r="AC5" s="1"/>
      <c r="AD5" s="33"/>
      <c r="AE5" s="1"/>
      <c r="AF5" s="34"/>
      <c r="AG5" s="34"/>
      <c r="AH5" s="1"/>
      <c r="AI5" s="1"/>
      <c r="AJ5" s="1"/>
      <c r="AK5" s="1"/>
      <c r="AL5" s="1"/>
      <c r="AM5" s="1"/>
      <c r="AN5" s="33"/>
    </row>
    <row r="6" spans="1:40" ht="18" customHeight="1">
      <c r="A6" s="1"/>
      <c r="B6" s="56"/>
      <c r="C6" s="57"/>
      <c r="D6" s="9" t="s">
        <v>53</v>
      </c>
      <c r="E6" s="9">
        <f>ABS(實驗數據!$G6*實驗數據!$M6/實驗數據!F99)</f>
        <v>0.22678571428571431</v>
      </c>
      <c r="F6" s="9">
        <f>ABS(實驗數據!$G6*實驗數據!$M6*2/實驗數據!G99)</f>
        <v>0.26458333333333334</v>
      </c>
      <c r="G6" s="9">
        <f>ABS(實驗數據!$G6*實驗數據!$M6*4/實驗數據!I99)</f>
        <v>0.254</v>
      </c>
      <c r="H6" s="9" t="e">
        <f>ABS(實驗數據!$G6*實驗數據!$M6*5/實驗數據!J99)</f>
        <v>#DIV/0!</v>
      </c>
      <c r="I6" s="9" t="e">
        <f>AVERAGE(E6:H6)</f>
        <v>#DIV/0!</v>
      </c>
      <c r="J6" s="61"/>
      <c r="K6" s="1"/>
      <c r="L6" s="56"/>
      <c r="M6" s="57"/>
      <c r="N6" s="9" t="s">
        <v>54</v>
      </c>
      <c r="O6" s="9">
        <f>ABS(實驗數據!$G6*實驗數據!$M6/實驗數據!P99)</f>
        <v>0.12211538461538461</v>
      </c>
      <c r="P6" s="9">
        <f>ABS(實驗數據!$G6*實驗數據!$M6*2/實驗數據!R99)</f>
        <v>0.13229166666666667</v>
      </c>
      <c r="Q6" s="9" t="e">
        <f>ABS(實驗數據!$G6*實驗數據!$M6*4/實驗數據!S99)</f>
        <v>#DIV/0!</v>
      </c>
      <c r="R6" s="9">
        <f>ABS(實驗數據!$G6*實驗數據!$M6*5/實驗數據!T99)</f>
        <v>0.28348214285714285</v>
      </c>
      <c r="S6" s="9" t="e">
        <f>AVERAGE(O6:R6)</f>
        <v>#DIV/0!</v>
      </c>
      <c r="T6" s="61"/>
      <c r="U6" s="1"/>
      <c r="V6" s="34"/>
      <c r="W6" s="34"/>
      <c r="X6" s="1"/>
      <c r="Y6" s="1"/>
      <c r="Z6" s="1"/>
      <c r="AA6" s="1"/>
      <c r="AB6" s="1"/>
      <c r="AC6" s="1"/>
      <c r="AD6" s="33"/>
      <c r="AE6" s="1"/>
      <c r="AF6" s="34"/>
      <c r="AG6" s="34"/>
      <c r="AH6" s="1"/>
      <c r="AI6" s="1"/>
      <c r="AJ6" s="1"/>
      <c r="AK6" s="1"/>
      <c r="AL6" s="1"/>
      <c r="AM6" s="1"/>
      <c r="AN6" s="33"/>
    </row>
    <row r="7" spans="1:40" ht="18" customHeight="1">
      <c r="A7" s="1"/>
      <c r="B7" s="58"/>
      <c r="C7" s="59"/>
      <c r="D7" s="30" t="s">
        <v>45</v>
      </c>
      <c r="E7" s="30">
        <f t="shared" ref="E7:I7" si="2">ABS((E6-$D3)/$D3*100)</f>
        <v>9.285714285714274</v>
      </c>
      <c r="F7" s="30">
        <f t="shared" si="2"/>
        <v>5.8333333333333348</v>
      </c>
      <c r="G7" s="30">
        <f t="shared" si="2"/>
        <v>1.6000000000000014</v>
      </c>
      <c r="H7" s="30" t="e">
        <f t="shared" si="2"/>
        <v>#DIV/0!</v>
      </c>
      <c r="I7" s="30" t="e">
        <f t="shared" si="2"/>
        <v>#DIV/0!</v>
      </c>
      <c r="J7" s="35" t="e">
        <f>ABS((J4-$D3)/$D3*100)</f>
        <v>#DIV/0!</v>
      </c>
      <c r="K7" s="1"/>
      <c r="L7" s="58"/>
      <c r="M7" s="59"/>
      <c r="N7" s="30" t="s">
        <v>45</v>
      </c>
      <c r="O7" s="30">
        <f t="shared" ref="O7:S7" si="3">ABS((O6-$D3)/$D3*100)</f>
        <v>51.153846153846146</v>
      </c>
      <c r="P7" s="30">
        <f t="shared" si="3"/>
        <v>47.083333333333336</v>
      </c>
      <c r="Q7" s="30" t="e">
        <f t="shared" si="3"/>
        <v>#DIV/0!</v>
      </c>
      <c r="R7" s="30">
        <f t="shared" si="3"/>
        <v>13.392857142857139</v>
      </c>
      <c r="S7" s="30" t="e">
        <f t="shared" si="3"/>
        <v>#DIV/0!</v>
      </c>
      <c r="T7" s="35" t="e">
        <f>ABS((T4-$D3)/$D3*100)</f>
        <v>#DIV/0!</v>
      </c>
      <c r="U7" s="1"/>
      <c r="V7" s="34"/>
      <c r="W7" s="34"/>
      <c r="X7" s="1"/>
      <c r="Y7" s="1"/>
      <c r="Z7" s="1"/>
      <c r="AA7" s="1"/>
      <c r="AB7" s="1"/>
      <c r="AC7" s="1"/>
      <c r="AD7" s="1"/>
      <c r="AE7" s="1"/>
      <c r="AF7" s="34"/>
      <c r="AG7" s="34"/>
      <c r="AH7" s="1"/>
      <c r="AI7" s="1"/>
      <c r="AJ7" s="1"/>
      <c r="AK7" s="1"/>
      <c r="AL7" s="1"/>
      <c r="AM7" s="1"/>
      <c r="AN7" s="1"/>
    </row>
    <row r="8" spans="1:40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:40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:40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:40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:40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:40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:40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:40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:40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:40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:40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:40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:40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:40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:40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0">
    <mergeCell ref="O2:T2"/>
    <mergeCell ref="B3:C3"/>
    <mergeCell ref="B4:C7"/>
    <mergeCell ref="J4:J6"/>
    <mergeCell ref="T4:T6"/>
    <mergeCell ref="L3:M3"/>
    <mergeCell ref="L4:M7"/>
    <mergeCell ref="B2:D2"/>
    <mergeCell ref="E2:J2"/>
    <mergeCell ref="L2:N2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實驗數據</vt:lpstr>
      <vt:lpstr>計算用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許津銘</dc:creator>
  <cp:lastModifiedBy>王翊權</cp:lastModifiedBy>
  <dcterms:created xsi:type="dcterms:W3CDTF">2024-04-27T07:34:44Z</dcterms:created>
  <dcterms:modified xsi:type="dcterms:W3CDTF">2026-05-10T13:31:47Z</dcterms:modified>
</cp:coreProperties>
</file>