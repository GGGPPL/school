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_ "/>
  </numFmts>
  <fonts count="12">
    <font>
      <name val="Aptos Narrow"/>
      <color theme="1"/>
      <sz val="12"/>
      <scheme val="minor"/>
    </font>
    <font>
      <name val="DFKai-SB"/>
      <charset val="136"/>
      <family val="4"/>
      <color theme="1"/>
      <sz val="12"/>
    </font>
    <font>
      <name val="DFKai-SB"/>
      <charset val="136"/>
      <family val="4"/>
      <b val="1"/>
      <color theme="1"/>
      <sz val="12"/>
    </font>
    <font>
      <name val="標楷體"/>
      <charset val="136"/>
      <family val="4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2"/>
    </font>
    <font>
      <name val="標楷體"/>
      <charset val="136"/>
      <family val="4"/>
      <color theme="1"/>
      <sz val="12"/>
      <vertAlign val="subscript"/>
    </font>
    <font>
      <name val="Aptos Narrow"/>
      <charset val="136"/>
      <family val="3"/>
      <sz val="9"/>
      <scheme val="minor"/>
    </font>
    <font>
      <name val="Aptos Narrow"/>
      <family val="2"/>
      <color theme="1"/>
      <sz val="12"/>
      <scheme val="minor"/>
    </font>
    <font>
      <name val="DFKai-SB"/>
      <charset val="136"/>
      <family val="4"/>
      <color theme="1"/>
      <sz val="12"/>
      <vertAlign val="superscript"/>
    </font>
    <font>
      <name val="標楷體"/>
      <charset val="136"/>
      <family val="4"/>
      <b val="1"/>
      <color theme="1"/>
      <sz val="12"/>
    </font>
    <font>
      <name val="標楷體"/>
      <charset val="136"/>
      <family val="4"/>
      <sz val="12"/>
    </font>
  </fonts>
  <fills count="3">
    <fill>
      <patternFill/>
    </fill>
    <fill>
      <patternFill patternType="gray125"/>
    </fill>
    <fill>
      <patternFill patternType="solid">
        <fgColor rgb="FFD9F2D0"/>
        <bgColor rgb="FFD9F2D0"/>
      </patternFill>
    </fill>
  </fills>
  <borders count="5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2">
    <xf numFmtId="0" fontId="0" fillId="0" borderId="0"/>
    <xf numFmtId="9" fontId="8" fillId="0" borderId="0" applyAlignment="1">
      <alignment vertical="center"/>
    </xf>
  </cellStyleXfs>
  <cellXfs count="7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11" fontId="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4" fontId="3" fillId="2" borderId="4" applyAlignment="1" pivotButton="0" quotePrefix="0" xfId="0">
      <alignment horizontal="center" vertical="center"/>
    </xf>
    <xf numFmtId="11" fontId="3" fillId="0" borderId="0" applyAlignment="1" pivotButton="0" quotePrefix="0" xfId="0">
      <alignment horizontal="center" vertical="center"/>
    </xf>
    <xf numFmtId="11" fontId="1" fillId="0" borderId="5" applyAlignment="1" pivotButton="0" quotePrefix="0" xfId="0">
      <alignment horizontal="center" vertical="center"/>
    </xf>
    <xf numFmtId="11" fontId="1" fillId="0" borderId="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1" fillId="0" borderId="8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11" fontId="3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164" fontId="1" fillId="2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2" fontId="1" fillId="0" borderId="18" applyAlignment="1" pivotButton="0" quotePrefix="0" xfId="0">
      <alignment horizontal="center" vertical="center"/>
    </xf>
    <xf numFmtId="164" fontId="1" fillId="2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vertical="center"/>
    </xf>
    <xf numFmtId="0" fontId="3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1" fillId="0" borderId="25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vertical="center"/>
    </xf>
    <xf numFmtId="9" fontId="3" fillId="0" borderId="28" applyAlignment="1" pivotButton="0" quotePrefix="0" xfId="1">
      <alignment horizontal="center" vertical="center"/>
    </xf>
    <xf numFmtId="9" fontId="11" fillId="0" borderId="29" applyAlignment="1" pivotButton="0" quotePrefix="0" xfId="1">
      <alignment vertical="center"/>
    </xf>
    <xf numFmtId="0" fontId="3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11" fillId="0" borderId="33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3" fillId="0" borderId="35" applyAlignment="1" pivotButton="0" quotePrefix="0" xfId="0">
      <alignment horizontal="center" vertical="center"/>
    </xf>
    <xf numFmtId="165" fontId="3" fillId="2" borderId="36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11" fontId="3" fillId="0" borderId="38" applyAlignment="1" pivotButton="0" quotePrefix="0" xfId="0">
      <alignment horizontal="center" vertical="center"/>
    </xf>
    <xf numFmtId="164" fontId="3" fillId="2" borderId="38" applyAlignment="1" pivotButton="0" quotePrefix="0" xfId="0">
      <alignment horizontal="center" vertical="center"/>
    </xf>
    <xf numFmtId="165" fontId="3" fillId="2" borderId="39" applyAlignment="1" pivotButton="0" quotePrefix="0" xfId="0">
      <alignment horizontal="center" vertical="center"/>
    </xf>
    <xf numFmtId="0" fontId="0" fillId="0" borderId="0" pivotButton="0" quotePrefix="0" xfId="0"/>
    <xf numFmtId="164" fontId="1" fillId="2" borderId="16" applyAlignment="1" pivotButton="0" quotePrefix="0" xfId="0">
      <alignment horizontal="center" vertical="center"/>
    </xf>
    <xf numFmtId="164" fontId="1" fillId="2" borderId="19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8" pivotButton="0" quotePrefix="0" xfId="0"/>
    <xf numFmtId="0" fontId="0" fillId="0" borderId="34" pivotButton="0" quotePrefix="0" xfId="0"/>
    <xf numFmtId="164" fontId="3" fillId="2" borderId="4" applyAlignment="1" pivotButton="0" quotePrefix="0" xfId="0">
      <alignment horizontal="center" vertical="center"/>
    </xf>
    <xf numFmtId="165" fontId="3" fillId="2" borderId="36" applyAlignment="1" pivotButton="0" quotePrefix="0" xfId="0">
      <alignment horizontal="center" vertical="center"/>
    </xf>
    <xf numFmtId="164" fontId="3" fillId="2" borderId="38" applyAlignment="1" pivotButton="0" quotePrefix="0" xfId="0">
      <alignment horizontal="center" vertical="center"/>
    </xf>
    <xf numFmtId="165" fontId="3" fillId="2" borderId="39" applyAlignment="1" pivotButton="0" quotePrefix="0" xfId="0">
      <alignment horizontal="center" vertical="center"/>
    </xf>
    <xf numFmtId="0" fontId="0" fillId="0" borderId="21" pivotButton="0" quotePrefix="0" xfId="0"/>
    <xf numFmtId="0" fontId="3" fillId="0" borderId="4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9" pivotButton="0" quotePrefix="0" xfId="0"/>
    <xf numFmtId="0" fontId="3" fillId="0" borderId="36" applyAlignment="1" pivotButton="0" quotePrefix="0" xfId="0">
      <alignment horizontal="center" vertical="center"/>
    </xf>
    <xf numFmtId="0" fontId="0" fillId="0" borderId="25" pivotButton="0" quotePrefix="0" xfId="0"/>
    <xf numFmtId="11" fontId="3" fillId="0" borderId="36" applyAlignment="1" pivotButton="0" quotePrefix="0" xfId="0">
      <alignment horizontal="center" vertical="center"/>
    </xf>
    <xf numFmtId="0" fontId="0" fillId="0" borderId="27" pivotButton="0" quotePrefix="0" xfId="0"/>
    <xf numFmtId="9" fontId="3" fillId="0" borderId="39" applyAlignment="1" pivotButton="0" quotePrefix="0" xfId="1">
      <alignment horizontal="center" vertical="center"/>
    </xf>
    <xf numFmtId="0" fontId="0" fillId="0" borderId="29" pivotButton="0" quotePrefix="0" xfId="0"/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工作表1!$E$37</f>
              <strCache>
                <ptCount val="1"/>
                <pt idx="0">
                  <v>截流電壓
V(V)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xmlns:a="http://schemas.openxmlformats.org/drawingml/2006/main"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1"/>
            <trendlineLbl>
              <numFmt formatCode="General" sourceLinked="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anchor="ctr" anchorCtr="1"/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zh-TW"/>
                </a:p>
              </txPr>
            </trendlineLbl>
          </trendline>
          <xVal>
            <numRef>
              <f>工作表1!$C$38:$C$43</f>
              <numCache>
                <formatCode>General</formatCode>
                <ptCount val="6"/>
                <pt idx="1">
                  <v>822000000000000.1</v>
                </pt>
                <pt idx="2">
                  <v>741000000000000</v>
                </pt>
                <pt idx="3">
                  <v>688000000000000</v>
                </pt>
                <pt idx="4">
                  <v>549000000000000</v>
                </pt>
                <pt idx="5">
                  <formatCode>0.00E+00</formatCode>
                  <v>520000000000000</v>
                </pt>
              </numCache>
            </numRef>
          </xVal>
          <yVal>
            <numRef>
              <f>工作表1!$E$38:$E$43</f>
              <numCache>
                <formatCode xml:space="preserve">0.000_ </formatCode>
                <ptCount val="6"/>
                <pt idx="1">
                  <v>1.354</v>
                </pt>
                <pt idx="2">
                  <v>1.207</v>
                </pt>
                <pt idx="3">
                  <v>1.036</v>
                </pt>
                <pt idx="4">
                  <v>0.629</v>
                </pt>
                <pt idx="5">
                  <v>0.4047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72052416"/>
        <axId val="72051936"/>
      </scatterChart>
      <valAx>
        <axId val="72052416"/>
        <scaling>
          <orientation val="minMax"/>
          <min val="500000000000000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頻率</a:t>
                </a:r>
                <a:r>
                  <a:rPr lang="en-US" altLang="zh-TW"/>
                  <a:t>(Hz)</a:t>
                </a:r>
                <a:endParaRPr lang="zh-TW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 altLang="en-US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72051936"/>
        <crosses val="autoZero"/>
        <crossBetween val="midCat"/>
      </valAx>
      <valAx>
        <axId val="72051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截流電壓</a:t>
                </a:r>
                <a:r>
                  <a:rPr lang="en-US" altLang="zh-TW"/>
                  <a:t>V</a:t>
                </a:r>
                <a:endParaRPr lang="zh-TW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 altLang="en-US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72052416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工作表1!$E$3</f>
              <strCache>
                <ptCount val="1"/>
                <pt idx="0">
                  <v>I(μA)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工作表1!$D$4:$D$22</f>
              <numCache>
                <formatCode>0.00</formatCode>
                <ptCount val="19"/>
                <pt idx="0">
                  <v>16</v>
                </pt>
                <pt idx="1">
                  <v>13.71742112482853</v>
                </pt>
                <pt idx="2">
                  <v>11.89060642092746</v>
                </pt>
                <pt idx="3">
                  <v>10.40582726326743</v>
                </pt>
                <pt idx="4">
                  <v>9.182736455463724</v>
                </pt>
                <pt idx="5">
                  <v>8.163265306122444</v>
                </pt>
                <pt idx="6">
                  <v>7.30460189919649</v>
                </pt>
                <pt idx="7">
                  <v>6.57462195923734</v>
                </pt>
                <pt idx="8">
                  <v>5.948839976204636</v>
                </pt>
                <pt idx="9">
                  <v>5.408328826392641</v>
                </pt>
                <pt idx="10">
                  <v>4.938271604938268</v>
                </pt>
                <pt idx="11">
                  <v>4.52693526482571</v>
                </pt>
                <pt idx="12">
                  <v>4.164931278633899</v>
                </pt>
                <pt idx="13">
                  <v>3.844675124951938</v>
                </pt>
                <pt idx="14">
                  <v>3.559985760056957</v>
                </pt>
                <pt idx="15">
                  <v>3.305785123966939</v>
                </pt>
                <pt idx="16">
                  <v>3.077870113881191</v>
                </pt>
                <pt idx="17">
                  <v>2.872737719046248</v>
                </pt>
                <pt idx="18">
                  <v>2.687449610319804</v>
                </pt>
              </numCache>
            </numRef>
          </xVal>
          <yVal>
            <numRef>
              <f>工作表1!$E$4:$E$22</f>
              <numCache>
                <formatCode xml:space="preserve">0.0000_ </formatCode>
                <ptCount val="19"/>
                <pt idx="0">
                  <v>1.628</v>
                </pt>
                <pt idx="1">
                  <v>1.48</v>
                </pt>
                <pt idx="2">
                  <v>1.375</v>
                </pt>
                <pt idx="3">
                  <v>1.259</v>
                </pt>
                <pt idx="4">
                  <v>1.1628</v>
                </pt>
                <pt idx="5">
                  <v>1.0614</v>
                </pt>
                <pt idx="6">
                  <v>0.9838</v>
                </pt>
                <pt idx="7">
                  <v>0.9058</v>
                </pt>
                <pt idx="8">
                  <v>0.8337</v>
                </pt>
                <pt idx="9">
                  <v>0.7798</v>
                </pt>
                <pt idx="10">
                  <v>0.72</v>
                </pt>
                <pt idx="11">
                  <v>0.6674</v>
                </pt>
                <pt idx="12">
                  <v>0.6258</v>
                </pt>
                <pt idx="13">
                  <v>0.5767</v>
                </pt>
                <pt idx="14">
                  <v>0.542</v>
                </pt>
                <pt idx="15">
                  <v>0.4989</v>
                </pt>
                <pt idx="16">
                  <v>0.4688</v>
                </pt>
                <pt idx="17">
                  <v>0.4325</v>
                </pt>
                <pt idx="18">
                  <v>0.4149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4427488"/>
        <axId val="154428448"/>
      </scatterChart>
      <valAx>
        <axId val="15442748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1/L2(m-2)</a:t>
                </a:r>
                <a:endParaRPr lang="zh-TW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 alt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54428448"/>
        <crosses val="autoZero"/>
        <crossBetween val="midCat"/>
      </valAx>
      <valAx>
        <axId val="1544284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I(</a:t>
                </a:r>
                <a:r>
                  <a:rPr lang="el-GR" altLang="zh-TW"/>
                  <a:t>μ</a:t>
                </a:r>
                <a:r>
                  <a:rPr lang="en-US" altLang="zh-TW"/>
                  <a:t>A)</a:t>
                </a:r>
                <a:endParaRPr lang="zh-TW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 altLang="en-US"/>
            </a:p>
          </txPr>
        </title>
        <numFmt formatCode="0.000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5442748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工作表1!$E$3</f>
              <strCache>
                <ptCount val="1"/>
                <pt idx="0">
                  <v>I(μA)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工作表1!$I$4:$I$22</f>
              <numCache>
                <formatCode>0.00</formatCode>
                <ptCount val="19"/>
                <pt idx="0">
                  <v>16</v>
                </pt>
                <pt idx="1">
                  <v>13.71742112482853</v>
                </pt>
                <pt idx="2">
                  <v>11.89060642092746</v>
                </pt>
                <pt idx="3">
                  <v>10.40582726326743</v>
                </pt>
                <pt idx="4">
                  <v>9.182736455463724</v>
                </pt>
                <pt idx="5">
                  <v>8.163265306122444</v>
                </pt>
                <pt idx="6">
                  <v>7.30460189919649</v>
                </pt>
                <pt idx="7">
                  <v>6.57462195923734</v>
                </pt>
                <pt idx="8">
                  <v>5.948839976204636</v>
                </pt>
                <pt idx="9">
                  <v>5.408328826392641</v>
                </pt>
                <pt idx="10">
                  <v>4.938271604938268</v>
                </pt>
                <pt idx="11">
                  <v>4.52693526482571</v>
                </pt>
                <pt idx="12">
                  <v>4.164931278633899</v>
                </pt>
                <pt idx="13">
                  <v>3.844675124951938</v>
                </pt>
                <pt idx="14">
                  <v>3.559985760056957</v>
                </pt>
                <pt idx="15">
                  <v>3.305785123966939</v>
                </pt>
                <pt idx="16">
                  <v>3.077870113881191</v>
                </pt>
                <pt idx="17">
                  <v>2.872737719046248</v>
                </pt>
                <pt idx="18">
                  <v>2.687449610319804</v>
                </pt>
              </numCache>
            </numRef>
          </xVal>
          <yVal>
            <numRef>
              <f>工作表1!$J$4:$J$22</f>
              <numCache>
                <formatCode xml:space="preserve">0.0000_ </formatCode>
                <ptCount val="19"/>
                <pt idx="0">
                  <v>2.67</v>
                </pt>
                <pt idx="1">
                  <v>2.31</v>
                </pt>
                <pt idx="2">
                  <v>2.01</v>
                </pt>
                <pt idx="3">
                  <v>1.78</v>
                </pt>
                <pt idx="4">
                  <v>1.57</v>
                </pt>
                <pt idx="5">
                  <v>1.41</v>
                </pt>
                <pt idx="6">
                  <v>1.26</v>
                </pt>
                <pt idx="7">
                  <v>1.12</v>
                </pt>
                <pt idx="8">
                  <v>1.01</v>
                </pt>
                <pt idx="9">
                  <v>0.93</v>
                </pt>
                <pt idx="10">
                  <v>0.86</v>
                </pt>
                <pt idx="11">
                  <v>0.79</v>
                </pt>
                <pt idx="12">
                  <v>0.73</v>
                </pt>
                <pt idx="13">
                  <v>0.6899999999999999</v>
                </pt>
                <pt idx="14">
                  <v>0.63</v>
                </pt>
                <pt idx="15">
                  <v>0.57</v>
                </pt>
                <pt idx="16">
                  <v>0.51</v>
                </pt>
                <pt idx="17">
                  <v>0.49</v>
                </pt>
                <pt idx="18">
                  <v>0.43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4427488"/>
        <axId val="154428448"/>
      </scatterChart>
      <valAx>
        <axId val="15442748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1/L2(m-2)</a:t>
                </a:r>
                <a:endParaRPr lang="zh-TW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 altLang="en-US"/>
            </a:p>
          </tx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54428448"/>
        <crosses val="autoZero"/>
        <crossBetween val="midCat"/>
      </valAx>
      <valAx>
        <axId val="1544284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I(</a:t>
                </a:r>
                <a:r>
                  <a:rPr lang="el-GR" altLang="zh-TW"/>
                  <a:t>μ</a:t>
                </a:r>
                <a:r>
                  <a:rPr lang="en-US" altLang="zh-TW"/>
                  <a:t>A)</a:t>
                </a:r>
                <a:endParaRPr lang="zh-TW" alt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 altLang="en-US"/>
            </a:p>
          </txPr>
        </title>
        <numFmt formatCode="0.0000_ 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5442748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7</col>
      <colOff>205377</colOff>
      <row>39</row>
      <rowOff>3575</rowOff>
    </from>
    <to>
      <col>14</col>
      <colOff>463647</colOff>
      <row>51</row>
      <rowOff>57363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218739</colOff>
      <row>22</row>
      <rowOff>114972</rowOff>
    </from>
    <to>
      <col>5</col>
      <colOff>751691</colOff>
      <row>34</row>
      <rowOff>173242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335280</colOff>
      <row>23</row>
      <rowOff>30480</rowOff>
    </from>
    <to>
      <col>13</col>
      <colOff>593912</colOff>
      <row>35</row>
      <rowOff>88750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topLeftCell="A24" zoomScaleNormal="100" workbookViewId="0">
      <selection activeCell="O22" sqref="O22"/>
    </sheetView>
  </sheetViews>
  <sheetFormatPr baseColWidth="8" defaultColWidth="11.19921875" defaultRowHeight="15" customHeight="1"/>
  <cols>
    <col width="8.09765625" customWidth="1" style="52" min="1" max="2"/>
    <col width="20.69921875" customWidth="1" style="52" min="3" max="3"/>
    <col width="8.09765625" customWidth="1" style="52" min="4" max="5"/>
    <col width="12.5" customWidth="1" style="52" min="6" max="6"/>
    <col width="8.09765625" customWidth="1" style="52" min="7" max="26"/>
  </cols>
  <sheetData>
    <row r="1" ht="18" customHeight="1" s="5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 s="52" thickBot="1">
      <c r="A2" s="1" t="n"/>
      <c r="B2" s="2" t="inlineStr">
        <is>
          <t>A：驗證照度與距離平方成反比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52">
      <c r="A3" s="1" t="n"/>
      <c r="B3" s="21" t="inlineStr">
        <is>
          <t>次數</t>
        </is>
      </c>
      <c r="C3" s="22" t="inlineStr">
        <is>
          <t>L(m)</t>
        </is>
      </c>
      <c r="D3" s="22" t="inlineStr">
        <is>
          <t>1/L2(m-2)</t>
        </is>
      </c>
      <c r="E3" s="23" t="inlineStr">
        <is>
          <t>I(μA)</t>
        </is>
      </c>
      <c r="F3" s="1" t="n"/>
      <c r="G3" s="21" t="inlineStr">
        <is>
          <t>次數</t>
        </is>
      </c>
      <c r="H3" s="22" t="inlineStr">
        <is>
          <t>L(m)</t>
        </is>
      </c>
      <c r="I3" s="22" t="inlineStr">
        <is>
          <t>1/L2(m-2)</t>
        </is>
      </c>
      <c r="J3" s="23" t="inlineStr">
        <is>
          <t>I(μA)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52">
      <c r="A4" s="1" t="n"/>
      <c r="B4" s="24" t="n">
        <v>1</v>
      </c>
      <c r="C4" s="19" t="n">
        <v>0.25</v>
      </c>
      <c r="D4" s="20">
        <f>1/C4^2</f>
        <v/>
      </c>
      <c r="E4" s="53" t="n">
        <v>1.628</v>
      </c>
      <c r="F4" s="1" t="n"/>
      <c r="G4" s="24" t="n">
        <v>1</v>
      </c>
      <c r="H4" s="19" t="n">
        <v>0.25</v>
      </c>
      <c r="I4" s="20">
        <f>1/H4^2</f>
        <v/>
      </c>
      <c r="J4" s="53" t="n">
        <v>2.67</v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8" customHeight="1" s="52">
      <c r="A5" s="1" t="n"/>
      <c r="B5" s="24" t="n">
        <v>2</v>
      </c>
      <c r="C5" s="19">
        <f>C4 + 0.02</f>
        <v/>
      </c>
      <c r="D5" s="20">
        <f>1/C5^2</f>
        <v/>
      </c>
      <c r="E5" s="53" t="n">
        <v>1.48</v>
      </c>
      <c r="F5" s="1" t="n"/>
      <c r="G5" s="24" t="n">
        <v>2</v>
      </c>
      <c r="H5" s="19">
        <f>H4 + 0.02</f>
        <v/>
      </c>
      <c r="I5" s="20">
        <f>1/H5^2</f>
        <v/>
      </c>
      <c r="J5" s="53" t="n">
        <v>2.31</v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8" customHeight="1" s="52">
      <c r="A6" s="1" t="n"/>
      <c r="B6" s="24" t="n">
        <v>3</v>
      </c>
      <c r="C6" s="19">
        <f>C5 + 0.02</f>
        <v/>
      </c>
      <c r="D6" s="20">
        <f>1/C6^2</f>
        <v/>
      </c>
      <c r="E6" s="53" t="n">
        <v>1.375</v>
      </c>
      <c r="F6" s="1" t="n"/>
      <c r="G6" s="24" t="n">
        <v>3</v>
      </c>
      <c r="H6" s="19">
        <f>H5 + 0.02</f>
        <v/>
      </c>
      <c r="I6" s="20">
        <f>1/H6^2</f>
        <v/>
      </c>
      <c r="J6" s="53" t="n">
        <v>2.01</v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 s="52">
      <c r="A7" s="1" t="n"/>
      <c r="B7" s="24" t="n">
        <v>4</v>
      </c>
      <c r="C7" s="19">
        <f>C6 + 0.02</f>
        <v/>
      </c>
      <c r="D7" s="20">
        <f>1/C7^2</f>
        <v/>
      </c>
      <c r="E7" s="53" t="n">
        <v>1.259</v>
      </c>
      <c r="F7" s="1" t="n"/>
      <c r="G7" s="24" t="n">
        <v>4</v>
      </c>
      <c r="H7" s="19">
        <f>H6 + 0.02</f>
        <v/>
      </c>
      <c r="I7" s="20">
        <f>1/H7^2</f>
        <v/>
      </c>
      <c r="J7" s="53" t="n">
        <v>1.78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8" customHeight="1" s="52">
      <c r="A8" s="1" t="n"/>
      <c r="B8" s="24" t="n">
        <v>5</v>
      </c>
      <c r="C8" s="19">
        <f>C7 + 0.02</f>
        <v/>
      </c>
      <c r="D8" s="20">
        <f>1/C8^2</f>
        <v/>
      </c>
      <c r="E8" s="53" t="n">
        <v>1.1628</v>
      </c>
      <c r="F8" s="1" t="n"/>
      <c r="G8" s="24" t="n">
        <v>5</v>
      </c>
      <c r="H8" s="19">
        <f>H7 + 0.02</f>
        <v/>
      </c>
      <c r="I8" s="20">
        <f>1/H8^2</f>
        <v/>
      </c>
      <c r="J8" s="53" t="n">
        <v>1.57</v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8" customHeight="1" s="52">
      <c r="A9" s="1" t="n"/>
      <c r="B9" s="24" t="n">
        <v>6</v>
      </c>
      <c r="C9" s="19">
        <f>C8 + 0.02</f>
        <v/>
      </c>
      <c r="D9" s="20">
        <f>1/C9^2</f>
        <v/>
      </c>
      <c r="E9" s="53" t="n">
        <v>1.0614</v>
      </c>
      <c r="F9" s="1" t="n"/>
      <c r="G9" s="24" t="n">
        <v>6</v>
      </c>
      <c r="H9" s="19">
        <f>H8 + 0.02</f>
        <v/>
      </c>
      <c r="I9" s="20">
        <f>1/H9^2</f>
        <v/>
      </c>
      <c r="J9" s="53" t="n">
        <v>1.41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8" customHeight="1" s="52">
      <c r="A10" s="1" t="n"/>
      <c r="B10" s="24" t="n">
        <v>7</v>
      </c>
      <c r="C10" s="19">
        <f>C9 + 0.02</f>
        <v/>
      </c>
      <c r="D10" s="20">
        <f>1/C10^2</f>
        <v/>
      </c>
      <c r="E10" s="53" t="n">
        <v>0.9838</v>
      </c>
      <c r="F10" s="1" t="n"/>
      <c r="G10" s="24" t="n">
        <v>7</v>
      </c>
      <c r="H10" s="19">
        <f>H9 + 0.02</f>
        <v/>
      </c>
      <c r="I10" s="20">
        <f>1/H10^2</f>
        <v/>
      </c>
      <c r="J10" s="53" t="n">
        <v>1.26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8" customHeight="1" s="52">
      <c r="A11" s="1" t="n"/>
      <c r="B11" s="24" t="n">
        <v>8</v>
      </c>
      <c r="C11" s="19">
        <f>C10 + 0.02</f>
        <v/>
      </c>
      <c r="D11" s="20">
        <f>1/C11^2</f>
        <v/>
      </c>
      <c r="E11" s="53" t="n">
        <v>0.9058</v>
      </c>
      <c r="F11" s="1" t="n"/>
      <c r="G11" s="24" t="n">
        <v>8</v>
      </c>
      <c r="H11" s="19">
        <f>H10 + 0.02</f>
        <v/>
      </c>
      <c r="I11" s="20">
        <f>1/H11^2</f>
        <v/>
      </c>
      <c r="J11" s="53" t="n">
        <v>1.12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52">
      <c r="A12" s="1" t="n"/>
      <c r="B12" s="24" t="n">
        <v>9</v>
      </c>
      <c r="C12" s="19">
        <f>C11 + 0.02</f>
        <v/>
      </c>
      <c r="D12" s="20">
        <f>1/C12^2</f>
        <v/>
      </c>
      <c r="E12" s="53" t="n">
        <v>0.8337</v>
      </c>
      <c r="F12" s="1" t="n"/>
      <c r="G12" s="24" t="n">
        <v>9</v>
      </c>
      <c r="H12" s="19">
        <f>H11 + 0.02</f>
        <v/>
      </c>
      <c r="I12" s="20">
        <f>1/H12^2</f>
        <v/>
      </c>
      <c r="J12" s="53" t="n">
        <v>1.01</v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52">
      <c r="A13" s="1" t="n"/>
      <c r="B13" s="24" t="n">
        <v>10</v>
      </c>
      <c r="C13" s="19">
        <f>C12 + 0.02</f>
        <v/>
      </c>
      <c r="D13" s="20">
        <f>1/C13^2</f>
        <v/>
      </c>
      <c r="E13" s="53" t="n">
        <v>0.7798</v>
      </c>
      <c r="F13" s="1" t="n"/>
      <c r="G13" s="24" t="n">
        <v>10</v>
      </c>
      <c r="H13" s="19">
        <f>H12 + 0.02</f>
        <v/>
      </c>
      <c r="I13" s="20">
        <f>1/H13^2</f>
        <v/>
      </c>
      <c r="J13" s="53" t="n">
        <v>0.93</v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8" customHeight="1" s="52">
      <c r="A14" s="1" t="n"/>
      <c r="B14" s="24" t="n">
        <v>11</v>
      </c>
      <c r="C14" s="19">
        <f>C13 + 0.02</f>
        <v/>
      </c>
      <c r="D14" s="20">
        <f>1/C14^2</f>
        <v/>
      </c>
      <c r="E14" s="53" t="n">
        <v>0.72</v>
      </c>
      <c r="F14" s="1" t="n"/>
      <c r="G14" s="24" t="n">
        <v>11</v>
      </c>
      <c r="H14" s="19">
        <f>H13 + 0.02</f>
        <v/>
      </c>
      <c r="I14" s="20">
        <f>1/H14^2</f>
        <v/>
      </c>
      <c r="J14" s="53" t="n">
        <v>0.86</v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" customHeight="1" s="52">
      <c r="A15" s="1" t="n"/>
      <c r="B15" s="24" t="n">
        <v>12</v>
      </c>
      <c r="C15" s="19">
        <f>C14 + 0.02</f>
        <v/>
      </c>
      <c r="D15" s="20">
        <f>1/C15^2</f>
        <v/>
      </c>
      <c r="E15" s="53" t="n">
        <v>0.6674</v>
      </c>
      <c r="F15" s="1" t="n"/>
      <c r="G15" s="24" t="n">
        <v>12</v>
      </c>
      <c r="H15" s="19">
        <f>H14 + 0.02</f>
        <v/>
      </c>
      <c r="I15" s="20">
        <f>1/H15^2</f>
        <v/>
      </c>
      <c r="J15" s="53" t="n">
        <v>0.79</v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8" customHeight="1" s="52">
      <c r="A16" s="1" t="n"/>
      <c r="B16" s="24" t="n">
        <v>13</v>
      </c>
      <c r="C16" s="19">
        <f>C15 + 0.02</f>
        <v/>
      </c>
      <c r="D16" s="20">
        <f>1/C16^2</f>
        <v/>
      </c>
      <c r="E16" s="53" t="n">
        <v>0.6258</v>
      </c>
      <c r="F16" s="1" t="n"/>
      <c r="G16" s="24" t="n">
        <v>13</v>
      </c>
      <c r="H16" s="19">
        <f>H15 + 0.02</f>
        <v/>
      </c>
      <c r="I16" s="20">
        <f>1/H16^2</f>
        <v/>
      </c>
      <c r="J16" s="53" t="n">
        <v>0.73</v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8" customHeight="1" s="52">
      <c r="A17" s="1" t="n"/>
      <c r="B17" s="24" t="n">
        <v>14</v>
      </c>
      <c r="C17" s="19">
        <f>C16 + 0.02</f>
        <v/>
      </c>
      <c r="D17" s="20">
        <f>1/C17^2</f>
        <v/>
      </c>
      <c r="E17" s="53" t="n">
        <v>0.5767</v>
      </c>
      <c r="F17" s="1" t="n"/>
      <c r="G17" s="24" t="n">
        <v>14</v>
      </c>
      <c r="H17" s="19">
        <f>H16 + 0.02</f>
        <v/>
      </c>
      <c r="I17" s="20">
        <f>1/H17^2</f>
        <v/>
      </c>
      <c r="J17" s="53" t="n">
        <v>0.6899999999999999</v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8" customHeight="1" s="52">
      <c r="A18" s="1" t="n"/>
      <c r="B18" s="24" t="n">
        <v>15</v>
      </c>
      <c r="C18" s="19">
        <f>C17 + 0.02</f>
        <v/>
      </c>
      <c r="D18" s="20">
        <f>1/C18^2</f>
        <v/>
      </c>
      <c r="E18" s="53" t="n">
        <v>0.542</v>
      </c>
      <c r="F18" s="1" t="n"/>
      <c r="G18" s="24" t="n">
        <v>15</v>
      </c>
      <c r="H18" s="19">
        <f>H17 + 0.02</f>
        <v/>
      </c>
      <c r="I18" s="20">
        <f>1/H18^2</f>
        <v/>
      </c>
      <c r="J18" s="53" t="n">
        <v>0.63</v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8" customHeight="1" s="52">
      <c r="A19" s="1" t="n"/>
      <c r="B19" s="24" t="n">
        <v>16</v>
      </c>
      <c r="C19" s="19">
        <f>C18 + 0.02</f>
        <v/>
      </c>
      <c r="D19" s="20">
        <f>1/C19^2</f>
        <v/>
      </c>
      <c r="E19" s="53" t="n">
        <v>0.4989</v>
      </c>
      <c r="F19" s="1" t="n"/>
      <c r="G19" s="24" t="n">
        <v>16</v>
      </c>
      <c r="H19" s="19">
        <f>H18 + 0.02</f>
        <v/>
      </c>
      <c r="I19" s="20">
        <f>1/H19^2</f>
        <v/>
      </c>
      <c r="J19" s="53" t="n">
        <v>0.57</v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8" customHeight="1" s="52">
      <c r="A20" s="1" t="n"/>
      <c r="B20" s="24" t="n">
        <v>17</v>
      </c>
      <c r="C20" s="19">
        <f>C19 + 0.02</f>
        <v/>
      </c>
      <c r="D20" s="20">
        <f>1/C20^2</f>
        <v/>
      </c>
      <c r="E20" s="53" t="n">
        <v>0.4688</v>
      </c>
      <c r="G20" s="24" t="n">
        <v>17</v>
      </c>
      <c r="H20" s="19">
        <f>H19 + 0.02</f>
        <v/>
      </c>
      <c r="I20" s="20">
        <f>1/H20^2</f>
        <v/>
      </c>
      <c r="J20" s="53" t="n">
        <v>0.51</v>
      </c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9.4" customHeight="1" s="52">
      <c r="A21" s="1" t="n"/>
      <c r="B21" s="24" t="n">
        <v>18</v>
      </c>
      <c r="C21" s="19">
        <f>C20 + 0.02</f>
        <v/>
      </c>
      <c r="D21" s="20">
        <f>1/C21^2</f>
        <v/>
      </c>
      <c r="E21" s="53" t="n">
        <v>0.4325</v>
      </c>
      <c r="G21" s="24" t="n">
        <v>18</v>
      </c>
      <c r="H21" s="19">
        <f>H20 + 0.02</f>
        <v/>
      </c>
      <c r="I21" s="20">
        <f>1/H21^2</f>
        <v/>
      </c>
      <c r="J21" s="53" t="n">
        <v>0.49</v>
      </c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7" customHeight="1" s="52" thickBot="1">
      <c r="A22" s="1" t="n"/>
      <c r="B22" s="26" t="n">
        <v>19</v>
      </c>
      <c r="C22" s="27">
        <f>C21 + 0.02</f>
        <v/>
      </c>
      <c r="D22" s="28">
        <f>1/C22^2</f>
        <v/>
      </c>
      <c r="E22" s="54" t="n">
        <v>0.4149</v>
      </c>
      <c r="G22" s="26" t="n">
        <v>19</v>
      </c>
      <c r="H22" s="27">
        <f>H21 + 0.02</f>
        <v/>
      </c>
      <c r="I22" s="28">
        <f>1/H22^2</f>
        <v/>
      </c>
      <c r="J22" s="54" t="n">
        <v>0.43</v>
      </c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8" customHeight="1" s="52">
      <c r="A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8" customHeight="1" s="52">
      <c r="A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7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8" customHeight="1" s="52">
      <c r="A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8" customHeight="1" s="52">
      <c r="A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 s="52">
      <c r="A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8" customHeight="1" s="52">
      <c r="A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8" customHeight="1" s="52">
      <c r="A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8" customHeight="1" s="52">
      <c r="A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8" customHeight="1" s="52">
      <c r="A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8" customHeight="1" s="52">
      <c r="A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8" customHeight="1" s="52">
      <c r="A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8" customHeight="1" s="52">
      <c r="A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8" customHeight="1" s="52">
      <c r="A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8" customHeight="1" s="52" thickBot="1">
      <c r="A36" s="1" t="n"/>
      <c r="B36" s="8" t="inlineStr">
        <is>
          <t>B：測量水銀燈五條主要譜線的截流電壓</t>
        </is>
      </c>
      <c r="C36" s="9" t="n"/>
      <c r="D36" s="9" t="n"/>
      <c r="E36" s="9" t="n"/>
      <c r="F36" s="9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8" customHeight="1" s="52">
      <c r="A37" s="1" t="n"/>
      <c r="B37" s="55" t="inlineStr">
        <is>
          <t>譜線</t>
        </is>
      </c>
      <c r="C37" s="56" t="inlineStr">
        <is>
          <t>頻率
(Hz)</t>
        </is>
      </c>
      <c r="D37" s="56" t="inlineStr">
        <is>
          <t>最大電流
I0(μA)</t>
        </is>
      </c>
      <c r="E37" s="57" t="inlineStr">
        <is>
          <t>截流電壓
V(V)</t>
        </is>
      </c>
      <c r="F37" s="9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8" customHeight="1" s="52">
      <c r="A38" s="1" t="n"/>
      <c r="B38" s="58" t="n"/>
      <c r="C38" s="59" t="n"/>
      <c r="D38" s="59" t="n"/>
      <c r="E38" s="60" t="n"/>
      <c r="F38" s="9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8" customHeight="1" s="52">
      <c r="A39" s="1" t="n"/>
      <c r="B39" s="46" t="inlineStr">
        <is>
          <t>紫外</t>
        </is>
      </c>
      <c r="C39" s="10">
        <f>8.22*10^14</f>
        <v/>
      </c>
      <c r="D39" s="61" t="n">
        <v>0.0736</v>
      </c>
      <c r="E39" s="62" t="n">
        <v>1.354</v>
      </c>
      <c r="F39" s="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8" customHeight="1" s="52">
      <c r="A40" s="1" t="n"/>
      <c r="B40" s="46" t="inlineStr">
        <is>
          <t>深紫</t>
        </is>
      </c>
      <c r="C40" s="10">
        <f>7.41*10^14</f>
        <v/>
      </c>
      <c r="D40" s="61" t="n">
        <v>0.0199</v>
      </c>
      <c r="E40" s="62" t="n">
        <v>1.207</v>
      </c>
      <c r="F40" s="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8" customHeight="1" s="52">
      <c r="A41" s="1" t="n"/>
      <c r="B41" s="46" t="inlineStr">
        <is>
          <t>紫</t>
        </is>
      </c>
      <c r="C41" s="10">
        <f>6.88*10^14</f>
        <v/>
      </c>
      <c r="D41" s="61" t="n">
        <v>0.06950000000000001</v>
      </c>
      <c r="E41" s="62" t="n">
        <v>1.036</v>
      </c>
      <c r="F41" s="9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8" customHeight="1" s="52">
      <c r="A42" s="1" t="n"/>
      <c r="B42" s="46" t="inlineStr">
        <is>
          <t>綠</t>
        </is>
      </c>
      <c r="C42" s="10">
        <f>5.49*10^14</f>
        <v/>
      </c>
      <c r="D42" s="61" t="n">
        <v>0.0355</v>
      </c>
      <c r="E42" s="62" t="n">
        <v>0.629</v>
      </c>
      <c r="F42" s="9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8" customHeight="1" s="52" thickBot="1">
      <c r="A43" s="1" t="n"/>
      <c r="B43" s="48" t="inlineStr">
        <is>
          <t>黃</t>
        </is>
      </c>
      <c r="C43" s="49">
        <f>5.2*10^14</f>
        <v/>
      </c>
      <c r="D43" s="63" t="n">
        <v>0.0209</v>
      </c>
      <c r="E43" s="64" t="n">
        <v>0.4047</v>
      </c>
      <c r="F43" s="9" t="inlineStr">
        <is>
          <t>理論值</t>
        </is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8" customHeight="1" s="52">
      <c r="A44" s="1" t="n"/>
      <c r="B44" s="55" t="inlineStr">
        <is>
          <t>斜率 =</t>
        </is>
      </c>
      <c r="C44" s="65" t="n"/>
      <c r="D44" s="66">
        <f>3*10^-15</f>
        <v/>
      </c>
      <c r="E44" s="67" t="n"/>
      <c r="F44" s="12">
        <f>D45/1.6/10^-19</f>
        <v/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8" customHeight="1" s="52">
      <c r="A45" s="1" t="n"/>
      <c r="B45" s="46" t="inlineStr">
        <is>
          <t>理論值 =</t>
        </is>
      </c>
      <c r="C45" s="68" t="n"/>
      <c r="D45" s="69">
        <f>6.63*10^-34</f>
        <v/>
      </c>
      <c r="E45" s="70" t="n"/>
      <c r="F45" s="9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8" customHeight="1" s="52">
      <c r="A46" s="1" t="n"/>
      <c r="B46" s="46" t="inlineStr">
        <is>
          <t>普朗克常數 h =</t>
        </is>
      </c>
      <c r="C46" s="68" t="n"/>
      <c r="D46" s="71">
        <f>D44* 1.6 * 10^-19</f>
        <v/>
      </c>
      <c r="E46" s="70" t="n"/>
      <c r="F46" s="9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8" customHeight="1" s="52" thickBot="1">
      <c r="A47" s="1" t="n"/>
      <c r="B47" s="48" t="inlineStr">
        <is>
          <t xml:space="preserve">百分誤差(%) = </t>
        </is>
      </c>
      <c r="C47" s="72" t="n"/>
      <c r="D47" s="73">
        <f>ABS((D45-D46)/D45)</f>
        <v/>
      </c>
      <c r="E47" s="74" t="n"/>
      <c r="F47" s="9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8" customHeight="1" s="52" thickBo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8" customHeight="1" s="52" thickTop="1">
      <c r="A49" s="1" t="n"/>
      <c r="B49" s="3" t="inlineStr">
        <is>
          <t>譜線</t>
        </is>
      </c>
      <c r="C49" s="4" t="inlineStr">
        <is>
          <t>功函數</t>
        </is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8" customHeight="1" s="52">
      <c r="A50" s="1" t="n"/>
      <c r="B50" s="5" t="inlineStr">
        <is>
          <t>紫外</t>
        </is>
      </c>
      <c r="C50" s="13">
        <f>(D44*C39-1.6*10^-19*E39)/1.6/10^-19</f>
        <v/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8" customHeight="1" s="52">
      <c r="A51" s="1" t="n"/>
      <c r="B51" s="5" t="inlineStr">
        <is>
          <t>深紫</t>
        </is>
      </c>
      <c r="C51" s="13">
        <f>(D44*C40-1.6*10^-19*E40)/1.6/10^-19</f>
        <v/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8" customHeight="1" s="52">
      <c r="A52" s="1" t="n"/>
      <c r="B52" s="5" t="inlineStr">
        <is>
          <t>紫</t>
        </is>
      </c>
      <c r="C52" s="13">
        <f>(D44*C41-1.6*10^-19*E41)/1.6/10^-19</f>
        <v/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8" customHeight="1" s="52">
      <c r="A53" s="1" t="n"/>
      <c r="B53" s="5" t="inlineStr">
        <is>
          <t>綠</t>
        </is>
      </c>
      <c r="C53" s="13">
        <f>(D44*C42-1.6*10^-19*E42)/1.6/10^-19</f>
        <v/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8" customHeight="1" s="52" thickBot="1">
      <c r="A54" s="1" t="n"/>
      <c r="B54" s="6" t="inlineStr">
        <is>
          <t>黃</t>
        </is>
      </c>
      <c r="C54" s="14">
        <f>(D44*C43-1.6*10^-19*E43)/1.6/10^-19</f>
        <v/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8" customHeight="1" s="52" thickTop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" customHeight="1" s="5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8" customHeight="1" s="5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8" customHeight="1" s="5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8" customHeight="1" s="5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8" customHeight="1" s="5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8" customHeight="1" s="5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5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8" customHeight="1" s="5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8" customHeight="1" s="5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8" customHeight="1" s="5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8" customHeight="1" s="5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8" customHeight="1" s="5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8" customHeight="1" s="5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8" customHeight="1" s="5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8" customHeight="1" s="5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8" customHeight="1" s="5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8" customHeight="1" s="5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8" customHeight="1" s="5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8" customHeight="1" s="5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8" customHeight="1" s="5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8" customHeight="1" s="5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8" customHeight="1" s="5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8" customHeight="1" s="5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8" customHeight="1" s="5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8" customHeight="1" s="5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8" customHeight="1" s="5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8" customHeight="1" s="5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8" customHeight="1" s="5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8" customHeight="1" s="5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8" customHeight="1" s="5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8" customHeight="1" s="5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8" customHeight="1" s="5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8" customHeight="1" s="5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8" customHeight="1" s="5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8" customHeight="1" s="5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8" customHeight="1" s="5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8" customHeight="1" s="5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8" customHeight="1" s="5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8" customHeight="1" s="5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8" customHeight="1" s="5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8" customHeight="1" s="5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8" customHeight="1" s="5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8" customHeight="1" s="5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8" customHeight="1" s="5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8" customHeight="1" s="5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8" customHeight="1" s="5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8" customHeight="1" s="5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8" customHeight="1" s="5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8" customHeight="1" s="5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8" customHeight="1" s="5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8" customHeight="1" s="5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8" customHeight="1" s="5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8" customHeight="1" s="5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8" customHeight="1" s="5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8" customHeight="1" s="5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8" customHeight="1" s="5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8" customHeight="1" s="5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8" customHeight="1" s="5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8" customHeight="1" s="5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8" customHeight="1" s="5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8" customHeight="1" s="5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8" customHeight="1" s="5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8" customHeight="1" s="5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8" customHeight="1" s="5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8" customHeight="1" s="5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8" customHeight="1" s="5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8" customHeight="1" s="5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8" customHeight="1" s="5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8" customHeight="1" s="5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8" customHeight="1" s="5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8" customHeight="1" s="5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8" customHeight="1" s="5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8" customHeight="1" s="5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8" customHeight="1" s="5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8" customHeight="1" s="5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8" customHeight="1" s="5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8" customHeight="1" s="5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8" customHeight="1" s="5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8" customHeight="1" s="5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8" customHeight="1" s="5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8" customHeight="1" s="5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8" customHeight="1" s="5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8" customHeight="1" s="5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8" customHeight="1" s="5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8" customHeight="1" s="5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8" customHeight="1" s="5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8" customHeight="1" s="5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8" customHeight="1" s="5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8" customHeight="1" s="5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8" customHeight="1" s="5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8" customHeight="1" s="5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8" customHeight="1" s="5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8" customHeight="1" s="5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8" customHeight="1" s="5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8" customHeight="1" s="5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8" customHeight="1" s="5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8" customHeight="1" s="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8" customHeight="1" s="5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8" customHeight="1" s="5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8" customHeight="1" s="5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8" customHeight="1" s="5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8" customHeight="1" s="5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8" customHeight="1" s="5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8" customHeight="1" s="5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8" customHeight="1" s="5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8" customHeight="1" s="5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8" customHeight="1" s="5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8" customHeight="1" s="5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8" customHeight="1" s="5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8" customHeight="1" s="5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8" customHeight="1" s="5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8" customHeight="1" s="5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8" customHeight="1" s="5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8" customHeight="1" s="5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8" customHeight="1" s="5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8" customHeight="1" s="5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8" customHeight="1" s="5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8" customHeight="1" s="5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8" customHeight="1" s="5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8" customHeight="1" s="5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8" customHeight="1" s="5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8" customHeight="1" s="5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8" customHeight="1" s="5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8" customHeight="1" s="5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8" customHeight="1" s="5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8" customHeight="1" s="5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8" customHeight="1" s="5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8" customHeight="1" s="5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8" customHeight="1" s="5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8" customHeight="1" s="5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8" customHeight="1" s="5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8" customHeight="1" s="5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8" customHeight="1" s="5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8" customHeight="1" s="5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8" customHeight="1" s="5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8" customHeight="1" s="5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8" customHeight="1" s="5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8" customHeight="1" s="5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8" customHeight="1" s="5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8" customHeight="1" s="5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8" customHeight="1" s="5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8" customHeight="1" s="5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8" customHeight="1" s="5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8" customHeight="1" s="5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8" customHeight="1" s="5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8" customHeight="1" s="5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8" customHeight="1" s="5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8" customHeight="1" s="5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8" customHeight="1" s="5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8" customHeight="1" s="5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8" customHeight="1" s="5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8" customHeight="1" s="5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8" customHeight="1" s="5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8" customHeight="1" s="5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8" customHeight="1" s="5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8" customHeight="1" s="5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8" customHeight="1" s="5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8" customHeight="1" s="5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8" customHeight="1" s="5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8" customHeight="1" s="5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8" customHeight="1" s="5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8" customHeight="1" s="5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8" customHeight="1" s="5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8" customHeight="1" s="5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8" customHeight="1" s="5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8" customHeight="1" s="5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8" customHeight="1" s="5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8" customHeight="1" s="5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8" customHeight="1" s="5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8" customHeight="1" s="5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8" customHeight="1" s="5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8" customHeight="1" s="5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8" customHeight="1" s="5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8" customHeight="1" s="5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8" customHeight="1" s="5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8" customHeight="1" s="5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8" customHeight="1" s="5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8" customHeight="1" s="5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8" customHeight="1" s="5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8" customHeight="1" s="5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8" customHeight="1" s="5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8" customHeight="1" s="5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8" customHeight="1" s="5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8" customHeight="1" s="5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8" customHeight="1" s="5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8" customHeight="1" s="5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8" customHeight="1" s="5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8" customHeight="1" s="5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8" customHeight="1" s="5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8" customHeight="1" s="5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8" customHeight="1" s="5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8" customHeight="1" s="5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8" customHeight="1" s="5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8" customHeight="1" s="5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8" customHeight="1" s="5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8" customHeight="1" s="5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8" customHeight="1" s="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8" customHeight="1" s="5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8" customHeight="1" s="5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8" customHeight="1" s="5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8" customHeight="1" s="5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8" customHeight="1" s="5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8" customHeight="1" s="5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8" customHeight="1" s="5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8" customHeight="1" s="5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8" customHeight="1" s="5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8" customHeight="1" s="5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8" customHeight="1" s="5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8" customHeight="1" s="5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8" customHeight="1" s="5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8" customHeight="1" s="5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8" customHeight="1" s="5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8" customHeight="1" s="5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8" customHeight="1" s="5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8" customHeight="1" s="5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8" customHeight="1" s="5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8" customHeight="1" s="5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8" customHeight="1" s="5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8" customHeight="1" s="5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8" customHeight="1" s="5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8" customHeight="1" s="5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8" customHeight="1" s="5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8" customHeight="1" s="5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8" customHeight="1" s="5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8" customHeight="1" s="5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8" customHeight="1" s="5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8" customHeight="1" s="5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8" customHeight="1" s="5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8" customHeight="1" s="5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8" customHeight="1" s="5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8" customHeight="1" s="5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8" customHeight="1" s="5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8" customHeight="1" s="5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8" customHeight="1" s="5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8" customHeight="1" s="5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8" customHeight="1" s="5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8" customHeight="1" s="5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8" customHeight="1" s="5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8" customHeight="1" s="5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8" customHeight="1" s="5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8" customHeight="1" s="5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8" customHeight="1" s="5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8" customHeight="1" s="5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8" customHeight="1" s="5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8" customHeight="1" s="5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8" customHeight="1" s="5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8" customHeight="1" s="5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8" customHeight="1" s="5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8" customHeight="1" s="5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8" customHeight="1" s="5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8" customHeight="1" s="5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8" customHeight="1" s="5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8" customHeight="1" s="5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8" customHeight="1" s="5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8" customHeight="1" s="5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8" customHeight="1" s="5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8" customHeight="1" s="5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8" customHeight="1" s="5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8" customHeight="1" s="5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8" customHeight="1" s="5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8" customHeight="1" s="5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8" customHeight="1" s="5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8" customHeight="1" s="5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8" customHeight="1" s="5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8" customHeight="1" s="5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8" customHeight="1" s="5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8" customHeight="1" s="5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8" customHeight="1" s="5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8" customHeight="1" s="5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8" customHeight="1" s="5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8" customHeight="1" s="5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8" customHeight="1" s="5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8" customHeight="1" s="5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8" customHeight="1" s="5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8" customHeight="1" s="5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8" customHeight="1" s="5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8" customHeight="1" s="5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8" customHeight="1" s="5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8" customHeight="1" s="5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8" customHeight="1" s="5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8" customHeight="1" s="5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8" customHeight="1" s="5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8" customHeight="1" s="5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8" customHeight="1" s="5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8" customHeight="1" s="5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8" customHeight="1" s="5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8" customHeight="1" s="5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8" customHeight="1" s="5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8" customHeight="1" s="5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8" customHeight="1" s="5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8" customHeight="1" s="5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8" customHeight="1" s="5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8" customHeight="1" s="5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8" customHeight="1" s="5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8" customHeight="1" s="5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8" customHeight="1" s="5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8" customHeight="1" s="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8" customHeight="1" s="5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8" customHeight="1" s="5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8" customHeight="1" s="5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8" customHeight="1" s="5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8" customHeight="1" s="5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8" customHeight="1" s="5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8" customHeight="1" s="5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8" customHeight="1" s="5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8" customHeight="1" s="5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8" customHeight="1" s="5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8" customHeight="1" s="5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8" customHeight="1" s="5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8" customHeight="1" s="5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8" customHeight="1" s="5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8" customHeight="1" s="5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8" customHeight="1" s="5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8" customHeight="1" s="5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8" customHeight="1" s="5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8" customHeight="1" s="5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8" customHeight="1" s="5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8" customHeight="1" s="5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8" customHeight="1" s="5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8" customHeight="1" s="5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8" customHeight="1" s="5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8" customHeight="1" s="5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8" customHeight="1" s="5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8" customHeight="1" s="5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8" customHeight="1" s="5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8" customHeight="1" s="5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8" customHeight="1" s="5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8" customHeight="1" s="5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8" customHeight="1" s="5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8" customHeight="1" s="5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8" customHeight="1" s="5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8" customHeight="1" s="5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8" customHeight="1" s="5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8" customHeight="1" s="5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8" customHeight="1" s="5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8" customHeight="1" s="5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8" customHeight="1" s="5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8" customHeight="1" s="5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8" customHeight="1" s="5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8" customHeight="1" s="5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8" customHeight="1" s="5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8" customHeight="1" s="5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8" customHeight="1" s="5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8" customHeight="1" s="5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8" customHeight="1" s="5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8" customHeight="1" s="5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8" customHeight="1" s="5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8" customHeight="1" s="5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8" customHeight="1" s="5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8" customHeight="1" s="5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8" customHeight="1" s="5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8" customHeight="1" s="5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8" customHeight="1" s="5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8" customHeight="1" s="5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8" customHeight="1" s="5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8" customHeight="1" s="5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8" customHeight="1" s="5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8" customHeight="1" s="5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8" customHeight="1" s="5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8" customHeight="1" s="5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8" customHeight="1" s="5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8" customHeight="1" s="5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8" customHeight="1" s="5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8" customHeight="1" s="5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8" customHeight="1" s="5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8" customHeight="1" s="5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8" customHeight="1" s="5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8" customHeight="1" s="5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8" customHeight="1" s="5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8" customHeight="1" s="5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8" customHeight="1" s="5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8" customHeight="1" s="5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8" customHeight="1" s="5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8" customHeight="1" s="5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8" customHeight="1" s="5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8" customHeight="1" s="5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8" customHeight="1" s="5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8" customHeight="1" s="5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8" customHeight="1" s="5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8" customHeight="1" s="5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8" customHeight="1" s="5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8" customHeight="1" s="5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8" customHeight="1" s="5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8" customHeight="1" s="5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8" customHeight="1" s="5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8" customHeight="1" s="5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8" customHeight="1" s="5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8" customHeight="1" s="5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8" customHeight="1" s="5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8" customHeight="1" s="5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8" customHeight="1" s="5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8" customHeight="1" s="5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8" customHeight="1" s="5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8" customHeight="1" s="5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8" customHeight="1" s="5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8" customHeight="1" s="5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8" customHeight="1" s="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8" customHeight="1" s="5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8" customHeight="1" s="5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8" customHeight="1" s="5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8" customHeight="1" s="5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8" customHeight="1" s="5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8" customHeight="1" s="5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8" customHeight="1" s="5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8" customHeight="1" s="5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8" customHeight="1" s="5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8" customHeight="1" s="5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8" customHeight="1" s="5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8" customHeight="1" s="5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8" customHeight="1" s="5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8" customHeight="1" s="5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8" customHeight="1" s="5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8" customHeight="1" s="5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8" customHeight="1" s="5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8" customHeight="1" s="5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8" customHeight="1" s="5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8" customHeight="1" s="5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8" customHeight="1" s="5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8" customHeight="1" s="5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8" customHeight="1" s="5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8" customHeight="1" s="5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8" customHeight="1" s="5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8" customHeight="1" s="5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8" customHeight="1" s="5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8" customHeight="1" s="5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8" customHeight="1" s="5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8" customHeight="1" s="5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8" customHeight="1" s="5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8" customHeight="1" s="5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8" customHeight="1" s="5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8" customHeight="1" s="5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8" customHeight="1" s="5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8" customHeight="1" s="5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8" customHeight="1" s="5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8" customHeight="1" s="5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8" customHeight="1" s="5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8" customHeight="1" s="5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8" customHeight="1" s="5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8" customHeight="1" s="5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8" customHeight="1" s="5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8" customHeight="1" s="5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8" customHeight="1" s="5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8" customHeight="1" s="5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8" customHeight="1" s="5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8" customHeight="1" s="5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8" customHeight="1" s="5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8" customHeight="1" s="5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8" customHeight="1" s="5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8" customHeight="1" s="5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8" customHeight="1" s="5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8" customHeight="1" s="5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8" customHeight="1" s="5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8" customHeight="1" s="5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8" customHeight="1" s="5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8" customHeight="1" s="5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8" customHeight="1" s="5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8" customHeight="1" s="5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8" customHeight="1" s="5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8" customHeight="1" s="5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8" customHeight="1" s="5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8" customHeight="1" s="5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8" customHeight="1" s="5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8" customHeight="1" s="5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8" customHeight="1" s="5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8" customHeight="1" s="5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8" customHeight="1" s="5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8" customHeight="1" s="5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8" customHeight="1" s="5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8" customHeight="1" s="5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8" customHeight="1" s="5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8" customHeight="1" s="5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8" customHeight="1" s="5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8" customHeight="1" s="5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8" customHeight="1" s="5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8" customHeight="1" s="5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8" customHeight="1" s="5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8" customHeight="1" s="5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8" customHeight="1" s="5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8" customHeight="1" s="5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8" customHeight="1" s="5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8" customHeight="1" s="5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8" customHeight="1" s="5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8" customHeight="1" s="5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8" customHeight="1" s="5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8" customHeight="1" s="5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8" customHeight="1" s="5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8" customHeight="1" s="5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8" customHeight="1" s="5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8" customHeight="1" s="5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8" customHeight="1" s="5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8" customHeight="1" s="5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8" customHeight="1" s="5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8" customHeight="1" s="5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8" customHeight="1" s="5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8" customHeight="1" s="5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8" customHeight="1" s="5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8" customHeight="1" s="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8" customHeight="1" s="5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8" customHeight="1" s="5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8" customHeight="1" s="5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8" customHeight="1" s="5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8" customHeight="1" s="5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8" customHeight="1" s="5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8" customHeight="1" s="5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8" customHeight="1" s="5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8" customHeight="1" s="5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8" customHeight="1" s="5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8" customHeight="1" s="5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8" customHeight="1" s="5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8" customHeight="1" s="5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8" customHeight="1" s="5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8" customHeight="1" s="5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8" customHeight="1" s="5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8" customHeight="1" s="5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8" customHeight="1" s="5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8" customHeight="1" s="5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8" customHeight="1" s="5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8" customHeight="1" s="5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8" customHeight="1" s="5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8" customHeight="1" s="5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8" customHeight="1" s="5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8" customHeight="1" s="5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8" customHeight="1" s="5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8" customHeight="1" s="5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8" customHeight="1" s="5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8" customHeight="1" s="5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8" customHeight="1" s="5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8" customHeight="1" s="5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8" customHeight="1" s="5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8" customHeight="1" s="5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8" customHeight="1" s="5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8" customHeight="1" s="5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8" customHeight="1" s="5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8" customHeight="1" s="5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8" customHeight="1" s="5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8" customHeight="1" s="5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8" customHeight="1" s="5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8" customHeight="1" s="5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8" customHeight="1" s="5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8" customHeight="1" s="5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8" customHeight="1" s="5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8" customHeight="1" s="5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8" customHeight="1" s="5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8" customHeight="1" s="5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8" customHeight="1" s="5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8" customHeight="1" s="5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8" customHeight="1" s="5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8" customHeight="1" s="5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8" customHeight="1" s="5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8" customHeight="1" s="5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8" customHeight="1" s="5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8" customHeight="1" s="5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8" customHeight="1" s="5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8" customHeight="1" s="5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8" customHeight="1" s="5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8" customHeight="1" s="5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8" customHeight="1" s="5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8" customHeight="1" s="5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8" customHeight="1" s="5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8" customHeight="1" s="5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8" customHeight="1" s="5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8" customHeight="1" s="5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8" customHeight="1" s="5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8" customHeight="1" s="5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8" customHeight="1" s="5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8" customHeight="1" s="5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8" customHeight="1" s="5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8" customHeight="1" s="5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8" customHeight="1" s="5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8" customHeight="1" s="5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8" customHeight="1" s="5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8" customHeight="1" s="5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8" customHeight="1" s="5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8" customHeight="1" s="5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8" customHeight="1" s="5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8" customHeight="1" s="5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8" customHeight="1" s="5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8" customHeight="1" s="5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8" customHeight="1" s="5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8" customHeight="1" s="5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8" customHeight="1" s="5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8" customHeight="1" s="5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8" customHeight="1" s="5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8" customHeight="1" s="5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8" customHeight="1" s="5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8" customHeight="1" s="5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8" customHeight="1" s="5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8" customHeight="1" s="5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8" customHeight="1" s="5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8" customHeight="1" s="5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8" customHeight="1" s="5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8" customHeight="1" s="5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8" customHeight="1" s="5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8" customHeight="1" s="5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8" customHeight="1" s="5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8" customHeight="1" s="5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8" customHeight="1" s="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8" customHeight="1" s="5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8" customHeight="1" s="5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8" customHeight="1" s="5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8" customHeight="1" s="5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8" customHeight="1" s="5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8" customHeight="1" s="5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8" customHeight="1" s="5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8" customHeight="1" s="5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8" customHeight="1" s="5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8" customHeight="1" s="5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8" customHeight="1" s="5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8" customHeight="1" s="5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8" customHeight="1" s="5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8" customHeight="1" s="5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8" customHeight="1" s="5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8" customHeight="1" s="5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8" customHeight="1" s="5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8" customHeight="1" s="5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8" customHeight="1" s="5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8" customHeight="1" s="5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8" customHeight="1" s="5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8" customHeight="1" s="5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8" customHeight="1" s="5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8" customHeight="1" s="5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8" customHeight="1" s="5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8" customHeight="1" s="5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8" customHeight="1" s="5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8" customHeight="1" s="5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8" customHeight="1" s="5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8" customHeight="1" s="5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8" customHeight="1" s="5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8" customHeight="1" s="5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8" customHeight="1" s="5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8" customHeight="1" s="5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8" customHeight="1" s="5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8" customHeight="1" s="5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8" customHeight="1" s="5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8" customHeight="1" s="5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8" customHeight="1" s="5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8" customHeight="1" s="5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8" customHeight="1" s="5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8" customHeight="1" s="5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8" customHeight="1" s="5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8" customHeight="1" s="5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8" customHeight="1" s="5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8" customHeight="1" s="5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8" customHeight="1" s="5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8" customHeight="1" s="5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8" customHeight="1" s="5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8" customHeight="1" s="5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8" customHeight="1" s="5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8" customHeight="1" s="5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8" customHeight="1" s="5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8" customHeight="1" s="5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8" customHeight="1" s="5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8" customHeight="1" s="5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8" customHeight="1" s="5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8" customHeight="1" s="5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8" customHeight="1" s="5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8" customHeight="1" s="5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8" customHeight="1" s="5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8" customHeight="1" s="5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8" customHeight="1" s="5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8" customHeight="1" s="5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8" customHeight="1" s="5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8" customHeight="1" s="5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8" customHeight="1" s="5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8" customHeight="1" s="5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8" customHeight="1" s="5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8" customHeight="1" s="5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8" customHeight="1" s="5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8" customHeight="1" s="5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8" customHeight="1" s="5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8" customHeight="1" s="5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8" customHeight="1" s="5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8" customHeight="1" s="5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8" customHeight="1" s="5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8" customHeight="1" s="5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8" customHeight="1" s="5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8" customHeight="1" s="5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8" customHeight="1" s="5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8" customHeight="1" s="5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8" customHeight="1" s="5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8" customHeight="1" s="5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8" customHeight="1" s="5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8" customHeight="1" s="5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8" customHeight="1" s="5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8" customHeight="1" s="5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8" customHeight="1" s="5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8" customHeight="1" s="5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8" customHeight="1" s="5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8" customHeight="1" s="5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8" customHeight="1" s="5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8" customHeight="1" s="5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8" customHeight="1" s="5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8" customHeight="1" s="5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8" customHeight="1" s="5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8" customHeight="1" s="5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8" customHeight="1" s="5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8" customHeight="1" s="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8" customHeight="1" s="5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8" customHeight="1" s="5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8" customHeight="1" s="5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8" customHeight="1" s="5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8" customHeight="1" s="5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8" customHeight="1" s="5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8" customHeight="1" s="5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8" customHeight="1" s="5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8" customHeight="1" s="5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8" customHeight="1" s="5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8" customHeight="1" s="5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8" customHeight="1" s="5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8" customHeight="1" s="5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8" customHeight="1" s="5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8" customHeight="1" s="5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8" customHeight="1" s="5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8" customHeight="1" s="5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8" customHeight="1" s="5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8" customHeight="1" s="5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8" customHeight="1" s="5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8" customHeight="1" s="5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8" customHeight="1" s="5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8" customHeight="1" s="5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8" customHeight="1" s="5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8" customHeight="1" s="5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8" customHeight="1" s="5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8" customHeight="1" s="5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8" customHeight="1" s="5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8" customHeight="1" s="5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8" customHeight="1" s="5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8" customHeight="1" s="5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8" customHeight="1" s="5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8" customHeight="1" s="5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8" customHeight="1" s="5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8" customHeight="1" s="5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8" customHeight="1" s="5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8" customHeight="1" s="5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8" customHeight="1" s="5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8" customHeight="1" s="5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8" customHeight="1" s="5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8" customHeight="1" s="5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8" customHeight="1" s="5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8" customHeight="1" s="5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8" customHeight="1" s="5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8" customHeight="1" s="5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8" customHeight="1" s="5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8" customHeight="1" s="5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8" customHeight="1" s="5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8" customHeight="1" s="5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8" customHeight="1" s="5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8" customHeight="1" s="5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8" customHeight="1" s="5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8" customHeight="1" s="5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8" customHeight="1" s="5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8" customHeight="1" s="5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8" customHeight="1" s="5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8" customHeight="1" s="5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8" customHeight="1" s="5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8" customHeight="1" s="5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8" customHeight="1" s="5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8" customHeight="1" s="5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8" customHeight="1" s="5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8" customHeight="1" s="5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8" customHeight="1" s="5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8" customHeight="1" s="5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8" customHeight="1" s="5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8" customHeight="1" s="5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8" customHeight="1" s="5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8" customHeight="1" s="5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8" customHeight="1" s="5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8" customHeight="1" s="5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8" customHeight="1" s="5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8" customHeight="1" s="5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8" customHeight="1" s="5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8" customHeight="1" s="5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8" customHeight="1" s="5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8" customHeight="1" s="5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8" customHeight="1" s="5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8" customHeight="1" s="5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8" customHeight="1" s="5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8" customHeight="1" s="5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8" customHeight="1" s="5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8" customHeight="1" s="5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8" customHeight="1" s="5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8" customHeight="1" s="5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8" customHeight="1" s="5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8" customHeight="1" s="5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8" customHeight="1" s="5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8" customHeight="1" s="5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8" customHeight="1" s="5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8" customHeight="1" s="5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8" customHeight="1" s="5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8" customHeight="1" s="5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8" customHeight="1" s="5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8" customHeight="1" s="5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8" customHeight="1" s="5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8" customHeight="1" s="5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8" customHeight="1" s="5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8" customHeight="1" s="5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8" customHeight="1" s="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8" customHeight="1" s="5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8" customHeight="1" s="5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8" customHeight="1" s="5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8" customHeight="1" s="5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8" customHeight="1" s="5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8" customHeight="1" s="5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8" customHeight="1" s="5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8" customHeight="1" s="5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8" customHeight="1" s="5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8" customHeight="1" s="5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8" customHeight="1" s="5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8" customHeight="1" s="5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8" customHeight="1" s="5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8" customHeight="1" s="5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8" customHeight="1" s="5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8" customHeight="1" s="5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8" customHeight="1" s="5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8" customHeight="1" s="5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8" customHeight="1" s="5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8" customHeight="1" s="5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8" customHeight="1" s="5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8" customHeight="1" s="5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8" customHeight="1" s="5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8" customHeight="1" s="5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8" customHeight="1" s="5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8" customHeight="1" s="5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8" customHeight="1" s="5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8" customHeight="1" s="5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8" customHeight="1" s="5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8" customHeight="1" s="5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8" customHeight="1" s="5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8" customHeight="1" s="5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8" customHeight="1" s="5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8" customHeight="1" s="5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8" customHeight="1" s="5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8" customHeight="1" s="5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8" customHeight="1" s="5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8" customHeight="1" s="5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8" customHeight="1" s="5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8" customHeight="1" s="5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8" customHeight="1" s="5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8" customHeight="1" s="5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8" customHeight="1" s="5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8" customHeight="1" s="5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8" customHeight="1" s="5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8" customHeight="1" s="5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8" customHeight="1" s="5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8" customHeight="1" s="5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8" customHeight="1" s="5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8" customHeight="1" s="5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8" customHeight="1" s="5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8" customHeight="1" s="5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8" customHeight="1" s="5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8" customHeight="1" s="5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8" customHeight="1" s="5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8" customHeight="1" s="5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8" customHeight="1" s="5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8" customHeight="1" s="5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8" customHeight="1" s="5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8" customHeight="1" s="5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8" customHeight="1" s="5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8" customHeight="1" s="5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8" customHeight="1" s="5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8" customHeight="1" s="5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8" customHeight="1" s="5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8" customHeight="1" s="5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8" customHeight="1" s="5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8" customHeight="1" s="5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8" customHeight="1" s="5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8" customHeight="1" s="5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8" customHeight="1" s="5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8" customHeight="1" s="5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8" customHeight="1" s="5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8" customHeight="1" s="5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8" customHeight="1" s="5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8" customHeight="1" s="5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8" customHeight="1" s="5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8" customHeight="1" s="5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8" customHeight="1" s="5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8" customHeight="1" s="5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8" customHeight="1" s="5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8" customHeight="1" s="5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8" customHeight="1" s="5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8" customHeight="1" s="5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8" customHeight="1" s="5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8" customHeight="1" s="5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8" customHeight="1" s="5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8" customHeight="1" s="5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8" customHeight="1" s="5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8" customHeight="1" s="5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8" customHeight="1" s="5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8" customHeight="1" s="5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8" customHeight="1" s="5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8" customHeight="1" s="5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8" customHeight="1" s="5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8" customHeight="1" s="5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8" customHeight="1" s="5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8" customHeight="1" s="5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8" customHeight="1" s="5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8" customHeight="1" s="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8" customHeight="1" s="5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8" customHeight="1" s="5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8" customHeight="1" s="5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8" customHeight="1" s="5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8" customHeight="1" s="5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8" customHeight="1" s="5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8" customHeight="1" s="5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8" customHeight="1" s="5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8" customHeight="1" s="5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8" customHeight="1" s="5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8" customHeight="1" s="5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8" customHeight="1" s="5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8" customHeight="1" s="5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8" customHeight="1" s="5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8" customHeight="1" s="5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8" customHeight="1" s="5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8" customHeight="1" s="5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8" customHeight="1" s="5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8" customHeight="1" s="5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8" customHeight="1" s="5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8" customHeight="1" s="5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8" customHeight="1" s="5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8" customHeight="1" s="5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8" customHeight="1" s="5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8" customHeight="1" s="5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8" customHeight="1" s="5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8" customHeight="1" s="5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8" customHeight="1" s="5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8" customHeight="1" s="5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8" customHeight="1" s="5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8" customHeight="1" s="5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8" customHeight="1" s="5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8" customHeight="1" s="5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8" customHeight="1" s="5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8" customHeight="1" s="5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8" customHeight="1" s="5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8" customHeight="1" s="5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8" customHeight="1" s="5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8" customHeight="1" s="5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8" customHeight="1" s="5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8" customHeight="1" s="5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8" customHeight="1" s="5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8" customHeight="1" s="5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8" customHeight="1" s="5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8" customHeight="1" s="5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8" customHeight="1" s="5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8" customHeight="1" s="5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8" customHeight="1" s="5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2">
    <mergeCell ref="D47:E47"/>
    <mergeCell ref="B47:C47"/>
    <mergeCell ref="B44:C44"/>
    <mergeCell ref="D45:E45"/>
    <mergeCell ref="B45:C45"/>
    <mergeCell ref="B46:C46"/>
    <mergeCell ref="C37:C38"/>
    <mergeCell ref="D37:D38"/>
    <mergeCell ref="D46:E46"/>
    <mergeCell ref="E37:E38"/>
    <mergeCell ref="D44:E44"/>
    <mergeCell ref="B37:B38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楊善筑</dc:creator>
  <dcterms:created xmlns:dcterms="http://purl.org/dc/terms/" xmlns:xsi="http://www.w3.org/2001/XMLSchema-instance" xsi:type="dcterms:W3CDTF">2024-05-10T12:13:42Z</dcterms:created>
  <dcterms:modified xmlns:dcterms="http://purl.org/dc/terms/" xmlns:xsi="http://www.w3.org/2001/XMLSchema-instance" xsi:type="dcterms:W3CDTF">2026-05-25T17:34:42Z</dcterms:modified>
  <cp:lastModifiedBy>王翊權</cp:lastModifiedBy>
</cp:coreProperties>
</file>