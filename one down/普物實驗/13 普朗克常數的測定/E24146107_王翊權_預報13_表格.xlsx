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 Wang\.gemini\Workspaces\school\one down\普物實驗\13 普朗克常數的測定\"/>
    </mc:Choice>
  </mc:AlternateContent>
  <xr:revisionPtr revIDLastSave="0" documentId="13_ncr:1_{6F5EFB10-DC15-4CD8-AFD2-7833BF3CF3C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n3lf5TUSjPcSmr2jqEmpyx7aOi0ys0byYbL7p29mHM="/>
    </ext>
  </extLst>
</workbook>
</file>

<file path=xl/calcChain.xml><?xml version="1.0" encoding="utf-8"?>
<calcChain xmlns="http://schemas.openxmlformats.org/spreadsheetml/2006/main">
  <c r="D30" i="1" l="1"/>
  <c r="D29" i="1"/>
  <c r="C38" i="1" s="1"/>
  <c r="C27" i="1"/>
  <c r="C26" i="1"/>
  <c r="C25" i="1"/>
  <c r="C24" i="1"/>
  <c r="C23" i="1"/>
  <c r="C5" i="1"/>
  <c r="C6" i="1" s="1"/>
  <c r="D4" i="1"/>
  <c r="D6" i="1" l="1"/>
  <c r="C7" i="1"/>
  <c r="D5" i="1"/>
  <c r="F28" i="1"/>
  <c r="D31" i="1"/>
  <c r="C34" i="1"/>
  <c r="C35" i="1"/>
  <c r="C36" i="1"/>
  <c r="C37" i="1"/>
  <c r="C8" i="1" l="1"/>
  <c r="D7" i="1"/>
  <c r="D8" i="1" l="1"/>
  <c r="C9" i="1"/>
  <c r="D9" i="1" l="1"/>
  <c r="C10" i="1"/>
  <c r="D10" i="1" l="1"/>
  <c r="C11" i="1"/>
  <c r="D11" i="1" l="1"/>
  <c r="C12" i="1"/>
  <c r="D12" i="1" l="1"/>
  <c r="C13" i="1"/>
  <c r="C14" i="1" l="1"/>
  <c r="D13" i="1"/>
  <c r="C15" i="1" l="1"/>
  <c r="D14" i="1"/>
  <c r="C16" i="1" l="1"/>
  <c r="D15" i="1"/>
  <c r="C17" i="1" l="1"/>
  <c r="D17" i="1" s="1"/>
  <c r="D16" i="1"/>
</calcChain>
</file>

<file path=xl/sharedStrings.xml><?xml version="1.0" encoding="utf-8"?>
<sst xmlns="http://schemas.openxmlformats.org/spreadsheetml/2006/main" count="27" uniqueCount="21">
  <si>
    <t>A：驗證照度與距離平方成反比</t>
  </si>
  <si>
    <t>次數</t>
  </si>
  <si>
    <t>L(m)</t>
  </si>
  <si>
    <r>
      <rPr>
        <sz val="12"/>
        <color theme="1"/>
        <rFont val="DFKai-SB"/>
        <family val="4"/>
        <charset val="136"/>
      </rPr>
      <t>1/L</t>
    </r>
    <r>
      <rPr>
        <vertAlign val="superscript"/>
        <sz val="12"/>
        <color theme="1"/>
        <rFont val="標楷體"/>
        <family val="4"/>
        <charset val="136"/>
      </rPr>
      <t>2</t>
    </r>
    <r>
      <rPr>
        <sz val="12"/>
        <color theme="1"/>
        <rFont val="標楷體"/>
        <family val="4"/>
        <charset val="136"/>
      </rPr>
      <t>(m</t>
    </r>
    <r>
      <rPr>
        <vertAlign val="superscript"/>
        <sz val="12"/>
        <color theme="1"/>
        <rFont val="標楷體"/>
        <family val="4"/>
        <charset val="136"/>
      </rPr>
      <t>-2</t>
    </r>
    <r>
      <rPr>
        <sz val="12"/>
        <color theme="1"/>
        <rFont val="標楷體"/>
        <family val="4"/>
        <charset val="136"/>
      </rPr>
      <t>)</t>
    </r>
  </si>
  <si>
    <r>
      <rPr>
        <sz val="12"/>
        <color theme="1"/>
        <rFont val="DFKai-SB"/>
        <family val="4"/>
        <charset val="136"/>
      </rPr>
      <t>I(</t>
    </r>
    <r>
      <rPr>
        <sz val="12"/>
        <color theme="1"/>
        <rFont val="Calibri"/>
      </rPr>
      <t>μ</t>
    </r>
    <r>
      <rPr>
        <sz val="12"/>
        <color theme="1"/>
        <rFont val="Arial"/>
      </rPr>
      <t>A)</t>
    </r>
  </si>
  <si>
    <t>B：測量水銀燈五條主要譜線的截流電壓</t>
  </si>
  <si>
    <t>譜線</t>
  </si>
  <si>
    <t>頻率
(Hz)</t>
  </si>
  <si>
    <r>
      <rPr>
        <sz val="12"/>
        <color theme="1"/>
        <rFont val="DFKai-SB"/>
        <family val="4"/>
        <charset val="136"/>
      </rPr>
      <t>最大電流
I</t>
    </r>
    <r>
      <rPr>
        <vertAlign val="subscript"/>
        <sz val="12"/>
        <color theme="1"/>
        <rFont val="標楷體"/>
        <family val="4"/>
        <charset val="136"/>
      </rPr>
      <t>0</t>
    </r>
    <r>
      <rPr>
        <sz val="12"/>
        <color theme="1"/>
        <rFont val="標楷體"/>
        <family val="4"/>
        <charset val="136"/>
      </rPr>
      <t>(</t>
    </r>
    <r>
      <rPr>
        <sz val="12"/>
        <color theme="1"/>
        <rFont val="Calibri"/>
      </rPr>
      <t>μ</t>
    </r>
    <r>
      <rPr>
        <sz val="12"/>
        <color theme="1"/>
        <rFont val="標楷體"/>
        <family val="4"/>
        <charset val="136"/>
      </rPr>
      <t>A)</t>
    </r>
  </si>
  <si>
    <t>載流電壓
V(V)</t>
  </si>
  <si>
    <t>紫外</t>
  </si>
  <si>
    <t>深紫</t>
  </si>
  <si>
    <t>紫</t>
  </si>
  <si>
    <t>綠</t>
  </si>
  <si>
    <t>黃</t>
  </si>
  <si>
    <t>理論值</t>
  </si>
  <si>
    <t>斜率 =</t>
  </si>
  <si>
    <t>理論值 =</t>
  </si>
  <si>
    <t>普朗克常數 h =</t>
  </si>
  <si>
    <t xml:space="preserve">百分誤差(%) = </t>
  </si>
  <si>
    <t>功函數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</si>
</sst>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_ "/>
    <numFmt numFmtId="177" formatCode="0.000_ "/>
    <numFmt numFmtId="178" formatCode="0.00_);[Red]\(0.00\)"/>
  </numFmts>
  <fonts count="10">
    <font>
      <sz val="12"/>
      <color theme="1"/>
      <name val="Aptos Narrow"/>
      <scheme val="minor"/>
    </font>
    <font>
      <sz val="12"/>
      <color theme="1"/>
      <name val="DFKai-SB"/>
      <family val="4"/>
      <charset val="136"/>
    </font>
    <font>
      <b/>
      <sz val="12"/>
      <color theme="1"/>
      <name val="DFKai-SB"/>
      <family val="4"/>
      <charset val="136"/>
    </font>
    <font>
      <sz val="12"/>
      <name val="Aptos Narrow"/>
    </font>
    <font>
      <vertAlign val="superscript"/>
      <sz val="12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2"/>
      <color theme="1"/>
      <name val="Calibri"/>
    </font>
    <font>
      <sz val="12"/>
      <color theme="1"/>
      <name val="Arial"/>
    </font>
    <font>
      <vertAlign val="subscript"/>
      <sz val="12"/>
      <color theme="1"/>
      <name val="標楷體"/>
      <family val="4"/>
      <charset val="136"/>
    </font>
    <font>
      <sz val="9"/>
      <name val="Aptos Narrow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F2D0"/>
        <bgColor rgb="FFD9F2D0"/>
      </patternFill>
    </fill>
  </fills>
  <borders count="3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176" fontId="1" fillId="2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176" fontId="1" fillId="2" borderId="9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176" fontId="1" fillId="2" borderId="5" xfId="0" applyNumberFormat="1" applyFont="1" applyFill="1" applyBorder="1" applyAlignment="1">
      <alignment horizontal="center" vertical="center"/>
    </xf>
    <xf numFmtId="177" fontId="1" fillId="2" borderId="6" xfId="0" applyNumberFormat="1" applyFont="1" applyFill="1" applyBorder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1" fontId="1" fillId="0" borderId="17" xfId="0" applyNumberFormat="1" applyFont="1" applyBorder="1" applyAlignment="1">
      <alignment horizontal="center" vertical="center"/>
    </xf>
    <xf numFmtId="176" fontId="1" fillId="2" borderId="18" xfId="0" applyNumberFormat="1" applyFont="1" applyFill="1" applyBorder="1" applyAlignment="1">
      <alignment horizontal="center" vertical="center"/>
    </xf>
    <xf numFmtId="177" fontId="1" fillId="2" borderId="19" xfId="0" applyNumberFormat="1" applyFont="1" applyFill="1" applyBorder="1" applyAlignment="1">
      <alignment horizontal="center" vertical="center"/>
    </xf>
    <xf numFmtId="178" fontId="1" fillId="0" borderId="6" xfId="0" applyNumberFormat="1" applyFont="1" applyBorder="1" applyAlignment="1">
      <alignment horizontal="center" vertical="center"/>
    </xf>
    <xf numFmtId="178" fontId="1" fillId="0" borderId="9" xfId="0" applyNumberFormat="1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1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vertical="center"/>
    </xf>
    <xf numFmtId="11" fontId="1" fillId="0" borderId="26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vertical="center"/>
    </xf>
    <xf numFmtId="2" fontId="1" fillId="0" borderId="30" xfId="0" applyNumberFormat="1" applyFont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3" fillId="0" borderId="13" xfId="0" applyFont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3" fillId="0" borderId="14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1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vertical="center"/>
    </xf>
    <xf numFmtId="0" fontId="1" fillId="2" borderId="22" xfId="0" applyFont="1" applyFill="1" applyBorder="1" applyAlignment="1">
      <alignment horizontal="center" vertical="center"/>
    </xf>
    <xf numFmtId="0" fontId="3" fillId="0" borderId="23" xfId="0" applyFont="1" applyBorder="1" applyAlignment="1">
      <alignment vertical="center"/>
    </xf>
    <xf numFmtId="0" fontId="1" fillId="0" borderId="26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/>
  </sheetViews>
  <sheetFormatPr defaultColWidth="11.19921875" defaultRowHeight="15" customHeight="1"/>
  <cols>
    <col min="1" max="26" width="8.09765625" customWidth="1"/>
  </cols>
  <sheetData>
    <row r="1" spans="1:26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" customHeight="1">
      <c r="A3" s="1"/>
      <c r="B3" s="3" t="s">
        <v>1</v>
      </c>
      <c r="C3" s="4" t="s">
        <v>2</v>
      </c>
      <c r="D3" s="4" t="s">
        <v>3</v>
      </c>
      <c r="E3" s="5" t="s">
        <v>4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customHeight="1">
      <c r="A4" s="1"/>
      <c r="B4" s="6">
        <v>1</v>
      </c>
      <c r="C4" s="7">
        <v>0.25</v>
      </c>
      <c r="D4" s="8">
        <f t="shared" ref="D4:D17" si="0">1/C4^2</f>
        <v>16</v>
      </c>
      <c r="E4" s="9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customHeight="1">
      <c r="A5" s="1"/>
      <c r="B5" s="6">
        <v>2</v>
      </c>
      <c r="C5" s="7">
        <f t="shared" ref="C5:C17" si="1">C4 + 0.02</f>
        <v>0.27</v>
      </c>
      <c r="D5" s="8">
        <f t="shared" si="0"/>
        <v>13.717421124828531</v>
      </c>
      <c r="E5" s="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1"/>
      <c r="B6" s="6">
        <v>3</v>
      </c>
      <c r="C6" s="7">
        <f t="shared" si="1"/>
        <v>0.29000000000000004</v>
      </c>
      <c r="D6" s="8">
        <f t="shared" si="0"/>
        <v>11.890606420927464</v>
      </c>
      <c r="E6" s="9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1"/>
      <c r="B7" s="6">
        <v>4</v>
      </c>
      <c r="C7" s="7">
        <f t="shared" si="1"/>
        <v>0.31000000000000005</v>
      </c>
      <c r="D7" s="8">
        <f t="shared" si="0"/>
        <v>10.405827263267426</v>
      </c>
      <c r="E7" s="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1"/>
      <c r="B8" s="6">
        <v>5</v>
      </c>
      <c r="C8" s="7">
        <f t="shared" si="1"/>
        <v>0.33000000000000007</v>
      </c>
      <c r="D8" s="8">
        <f t="shared" si="0"/>
        <v>9.1827364554637239</v>
      </c>
      <c r="E8" s="9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1"/>
      <c r="B9" s="6">
        <v>6</v>
      </c>
      <c r="C9" s="7">
        <f t="shared" si="1"/>
        <v>0.35000000000000009</v>
      </c>
      <c r="D9" s="8">
        <f t="shared" si="0"/>
        <v>8.1632653061224438</v>
      </c>
      <c r="E9" s="9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1"/>
      <c r="B10" s="6">
        <v>7</v>
      </c>
      <c r="C10" s="7">
        <f t="shared" si="1"/>
        <v>0.37000000000000011</v>
      </c>
      <c r="D10" s="8">
        <f t="shared" si="0"/>
        <v>7.3046018991964896</v>
      </c>
      <c r="E10" s="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"/>
      <c r="B11" s="6">
        <v>8</v>
      </c>
      <c r="C11" s="7">
        <f t="shared" si="1"/>
        <v>0.39000000000000012</v>
      </c>
      <c r="D11" s="8">
        <f t="shared" si="0"/>
        <v>6.5746219592373398</v>
      </c>
      <c r="E11" s="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1"/>
      <c r="B12" s="6">
        <v>9</v>
      </c>
      <c r="C12" s="7">
        <f t="shared" si="1"/>
        <v>0.41000000000000014</v>
      </c>
      <c r="D12" s="8">
        <f t="shared" si="0"/>
        <v>5.9488399762046358</v>
      </c>
      <c r="E12" s="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1"/>
      <c r="B13" s="6">
        <v>10</v>
      </c>
      <c r="C13" s="7">
        <f t="shared" si="1"/>
        <v>0.43000000000000016</v>
      </c>
      <c r="D13" s="8">
        <f t="shared" si="0"/>
        <v>5.4083288263926406</v>
      </c>
      <c r="E13" s="9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1"/>
      <c r="B14" s="6">
        <v>11</v>
      </c>
      <c r="C14" s="7">
        <f t="shared" si="1"/>
        <v>0.45000000000000018</v>
      </c>
      <c r="D14" s="8">
        <f t="shared" si="0"/>
        <v>4.9382716049382678</v>
      </c>
      <c r="E14" s="9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1"/>
      <c r="B15" s="6">
        <v>12</v>
      </c>
      <c r="C15" s="7">
        <f t="shared" si="1"/>
        <v>0.4700000000000002</v>
      </c>
      <c r="D15" s="8">
        <f t="shared" si="0"/>
        <v>4.5269352648257097</v>
      </c>
      <c r="E15" s="9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1"/>
      <c r="B16" s="6">
        <v>13</v>
      </c>
      <c r="C16" s="7">
        <f t="shared" si="1"/>
        <v>0.49000000000000021</v>
      </c>
      <c r="D16" s="8">
        <f t="shared" si="0"/>
        <v>4.1649312786338992</v>
      </c>
      <c r="E16" s="9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1"/>
      <c r="B17" s="10">
        <v>14</v>
      </c>
      <c r="C17" s="11">
        <f t="shared" si="1"/>
        <v>0.51000000000000023</v>
      </c>
      <c r="D17" s="12">
        <f t="shared" si="0"/>
        <v>3.8446751249519382</v>
      </c>
      <c r="E17" s="13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1"/>
      <c r="B20" s="14" t="s">
        <v>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9.4" customHeight="1">
      <c r="A21" s="1"/>
      <c r="B21" s="32" t="s">
        <v>6</v>
      </c>
      <c r="C21" s="34" t="s">
        <v>7</v>
      </c>
      <c r="D21" s="34" t="s">
        <v>8</v>
      </c>
      <c r="E21" s="36" t="s">
        <v>9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" customHeight="1">
      <c r="A22" s="1"/>
      <c r="B22" s="33"/>
      <c r="C22" s="35"/>
      <c r="D22" s="35"/>
      <c r="E22" s="37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1"/>
      <c r="B23" s="6" t="s">
        <v>10</v>
      </c>
      <c r="C23" s="7">
        <f>8.22*10^14</f>
        <v>822000000000000.13</v>
      </c>
      <c r="D23" s="15"/>
      <c r="E23" s="16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1"/>
      <c r="B24" s="6" t="s">
        <v>11</v>
      </c>
      <c r="C24" s="7">
        <f>7.41*10^14</f>
        <v>741000000000000</v>
      </c>
      <c r="D24" s="15"/>
      <c r="E24" s="16"/>
      <c r="F24" s="1"/>
      <c r="G24" s="1"/>
      <c r="H24" s="1"/>
      <c r="I24" s="1"/>
      <c r="J24" s="1"/>
      <c r="K24" s="1"/>
      <c r="L24" s="1"/>
      <c r="M24" s="1"/>
      <c r="N24" s="1"/>
      <c r="O24" s="17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1"/>
      <c r="B25" s="6" t="s">
        <v>12</v>
      </c>
      <c r="C25" s="7">
        <f>6.88*10^14</f>
        <v>688000000000000</v>
      </c>
      <c r="D25" s="15"/>
      <c r="E25" s="16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1"/>
      <c r="B26" s="6" t="s">
        <v>13</v>
      </c>
      <c r="C26" s="7">
        <f>5.49*10^14</f>
        <v>549000000000000</v>
      </c>
      <c r="D26" s="15"/>
      <c r="E26" s="16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1"/>
      <c r="B27" s="18" t="s">
        <v>14</v>
      </c>
      <c r="C27" s="19">
        <f>5.2*10^14</f>
        <v>520000000000000</v>
      </c>
      <c r="D27" s="20"/>
      <c r="E27" s="21"/>
      <c r="F27" s="1" t="s">
        <v>15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1"/>
      <c r="B28" s="38" t="s">
        <v>16</v>
      </c>
      <c r="C28" s="39"/>
      <c r="D28" s="40"/>
      <c r="E28" s="41"/>
      <c r="F28" s="17">
        <f>D29 / 1.6 / 10^-19</f>
        <v>4.1437500000000003E-15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"/>
      <c r="B29" s="24" t="s">
        <v>17</v>
      </c>
      <c r="C29" s="25"/>
      <c r="D29" s="42">
        <f>6.63*10^-34</f>
        <v>6.6300000000000008E-34</v>
      </c>
      <c r="E29" s="29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"/>
      <c r="B30" s="24" t="s">
        <v>18</v>
      </c>
      <c r="C30" s="25"/>
      <c r="D30" s="28">
        <f>D28 * 1.6 * 10^-19</f>
        <v>0</v>
      </c>
      <c r="E30" s="29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1"/>
      <c r="B31" s="26" t="s">
        <v>19</v>
      </c>
      <c r="C31" s="27"/>
      <c r="D31" s="30">
        <f>ABS((D29-D30)/D29*100)</f>
        <v>100</v>
      </c>
      <c r="E31" s="3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1"/>
      <c r="B33" s="3" t="s">
        <v>6</v>
      </c>
      <c r="C33" s="5" t="s">
        <v>20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1"/>
      <c r="B34" s="6" t="s">
        <v>10</v>
      </c>
      <c r="C34" s="22">
        <f>(D29*C23-1.6*10^-19*E23)/1.6/10^-19</f>
        <v>3.4061625000000011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1"/>
      <c r="B35" s="6" t="s">
        <v>11</v>
      </c>
      <c r="C35" s="22">
        <f>(D29*C24-1.6*10^-19*E24)/1.6/10^-19</f>
        <v>3.0705187500000006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1"/>
      <c r="B36" s="6" t="s">
        <v>12</v>
      </c>
      <c r="C36" s="22">
        <f>(D29*C25-1.6*10^-19*E25)/1.6/10^-19</f>
        <v>2.8509000000000002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1"/>
      <c r="B37" s="6" t="s">
        <v>13</v>
      </c>
      <c r="C37" s="22">
        <f>(D29*C26-1.6*10^-19*E26)/1.6/10^-19</f>
        <v>2.2749187500000003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1"/>
      <c r="B38" s="10" t="s">
        <v>14</v>
      </c>
      <c r="C38" s="23">
        <f>(D29*C27-1.6*10^-19*E27)/1.6/10^-19</f>
        <v>2.1547500000000004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2">
    <mergeCell ref="B21:B22"/>
    <mergeCell ref="C21:C22"/>
    <mergeCell ref="D21:D22"/>
    <mergeCell ref="E21:E22"/>
    <mergeCell ref="B28:C28"/>
    <mergeCell ref="D28:E28"/>
    <mergeCell ref="B29:C29"/>
    <mergeCell ref="B30:C30"/>
    <mergeCell ref="B31:C31"/>
    <mergeCell ref="D30:E30"/>
    <mergeCell ref="D31:E31"/>
    <mergeCell ref="D29:E29"/>
  </mergeCells>
  <phoneticPr fontId="9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楊善筑</dc:creator>
  <cp:lastModifiedBy>王翊權</cp:lastModifiedBy>
  <dcterms:created xsi:type="dcterms:W3CDTF">2024-05-10T12:13:42Z</dcterms:created>
  <dcterms:modified xsi:type="dcterms:W3CDTF">2026-05-17T19:11:39Z</dcterms:modified>
</cp:coreProperties>
</file>