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chool\one down\普物實驗\13 普朗克常數的測定\"/>
    </mc:Choice>
  </mc:AlternateContent>
  <xr:revisionPtr revIDLastSave="0" documentId="13_ncr:1_{FC754766-EE66-4600-8EB0-EE8E6F11AC03}" xr6:coauthVersionLast="47" xr6:coauthVersionMax="47" xr10:uidLastSave="{00000000-0000-0000-0000-000000000000}"/>
  <bookViews>
    <workbookView xWindow="-108" yWindow="-108" windowWidth="18648" windowHeight="11784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n3lf5TUSjPcSmr2jqEmpyx7aOi0ys0byYbL7p29mHM="/>
    </ext>
  </extLst>
</workbook>
</file>

<file path=xl/calcChain.xml><?xml version="1.0" encoding="utf-8"?>
<calcChain xmlns="http://schemas.openxmlformats.org/spreadsheetml/2006/main">
  <c r="D46" i="1" l="1"/>
  <c r="D47" i="1" s="1"/>
  <c r="F44" i="1"/>
  <c r="D45" i="1"/>
  <c r="D44" i="1"/>
  <c r="C54" i="1" s="1"/>
  <c r="C41" i="1"/>
  <c r="C42" i="1"/>
  <c r="C43" i="1"/>
  <c r="C40" i="1"/>
  <c r="C39" i="1"/>
  <c r="C5" i="1"/>
  <c r="C6" i="1" s="1"/>
  <c r="D4" i="1"/>
  <c r="D6" i="1" l="1"/>
  <c r="C7" i="1"/>
  <c r="D5" i="1"/>
  <c r="C50" i="1"/>
  <c r="C51" i="1"/>
  <c r="C52" i="1"/>
  <c r="C53" i="1"/>
  <c r="C8" i="1" l="1"/>
  <c r="D7" i="1"/>
  <c r="D8" i="1" l="1"/>
  <c r="C9" i="1"/>
  <c r="D9" i="1" l="1"/>
  <c r="C10" i="1"/>
  <c r="D10" i="1" l="1"/>
  <c r="C11" i="1"/>
  <c r="D11" i="1" l="1"/>
  <c r="C12" i="1"/>
  <c r="D12" i="1" l="1"/>
  <c r="C13" i="1"/>
  <c r="C14" i="1" l="1"/>
  <c r="D13" i="1"/>
  <c r="C15" i="1" l="1"/>
  <c r="D14" i="1"/>
  <c r="C16" i="1" l="1"/>
  <c r="D15" i="1"/>
  <c r="C17" i="1" l="1"/>
  <c r="D17" i="1" s="1"/>
  <c r="D16" i="1"/>
</calcChain>
</file>

<file path=xl/sharedStrings.xml><?xml version="1.0" encoding="utf-8"?>
<sst xmlns="http://schemas.openxmlformats.org/spreadsheetml/2006/main" count="27" uniqueCount="21">
  <si>
    <t>A：驗證照度與距離平方成反比</t>
  </si>
  <si>
    <t>次數</t>
  </si>
  <si>
    <t>L(m)</t>
  </si>
  <si>
    <t>B：測量水銀燈五條主要譜線的截流電壓</t>
  </si>
  <si>
    <t>譜線</t>
  </si>
  <si>
    <t>紫外</t>
  </si>
  <si>
    <t>深紫</t>
  </si>
  <si>
    <t>紫</t>
  </si>
  <si>
    <t>綠</t>
  </si>
  <si>
    <t>黃</t>
  </si>
  <si>
    <t>理論值</t>
  </si>
  <si>
    <t>斜率 =</t>
  </si>
  <si>
    <t>理論值 =</t>
  </si>
  <si>
    <t>普朗克常數 h =</t>
  </si>
  <si>
    <t xml:space="preserve">百分誤差(%) = </t>
  </si>
  <si>
    <t>功函數</t>
  </si>
  <si>
    <t>截流電壓
V(V)</t>
    <phoneticPr fontId="7" type="noConversion"/>
  </si>
  <si>
    <t>頻率
(Hz)</t>
    <phoneticPr fontId="7" type="noConversion"/>
  </si>
  <si>
    <r>
      <t>1/L</t>
    </r>
    <r>
      <rPr>
        <vertAlign val="superscript"/>
        <sz val="12"/>
        <color theme="1"/>
        <rFont val="DFKai-SB"/>
        <family val="4"/>
        <charset val="136"/>
      </rPr>
      <t>2</t>
    </r>
    <r>
      <rPr>
        <sz val="12"/>
        <color theme="1"/>
        <rFont val="DFKai-SB"/>
        <family val="4"/>
        <charset val="136"/>
      </rPr>
      <t>(m</t>
    </r>
    <r>
      <rPr>
        <vertAlign val="superscript"/>
        <sz val="12"/>
        <color theme="1"/>
        <rFont val="DFKai-SB"/>
        <family val="4"/>
        <charset val="136"/>
      </rPr>
      <t>-2</t>
    </r>
    <r>
      <rPr>
        <sz val="12"/>
        <color theme="1"/>
        <rFont val="DFKai-SB"/>
        <family val="4"/>
        <charset val="136"/>
      </rPr>
      <t>)</t>
    </r>
    <phoneticPr fontId="7" type="noConversion"/>
  </si>
  <si>
    <r>
      <t>I(</t>
    </r>
    <r>
      <rPr>
        <sz val="12"/>
        <color theme="1"/>
        <rFont val="Calibri"/>
      </rPr>
      <t>μ</t>
    </r>
    <r>
      <rPr>
        <sz val="12"/>
        <color theme="1"/>
        <rFont val="Arial"/>
      </rPr>
      <t>A)</t>
    </r>
    <phoneticPr fontId="7" type="noConversion"/>
  </si>
  <si>
    <r>
      <t>最大電流
I</t>
    </r>
    <r>
      <rPr>
        <vertAlign val="subscript"/>
        <sz val="12"/>
        <color theme="1"/>
        <rFont val="標楷體"/>
        <family val="4"/>
        <charset val="136"/>
      </rPr>
      <t>0</t>
    </r>
    <r>
      <rPr>
        <sz val="12"/>
        <color theme="1"/>
        <rFont val="標楷體"/>
        <family val="4"/>
        <charset val="136"/>
      </rPr>
      <t>(μA)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</si>
</sst>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_ "/>
  </numFmts>
  <fonts count="12">
    <font>
      <sz val="12"/>
      <color theme="1"/>
      <name val="Aptos Narrow"/>
      <scheme val="minor"/>
    </font>
    <font>
      <sz val="12"/>
      <color theme="1"/>
      <name val="DFKai-SB"/>
      <family val="4"/>
      <charset val="136"/>
    </font>
    <font>
      <b/>
      <sz val="12"/>
      <color theme="1"/>
      <name val="DFKai-SB"/>
      <family val="4"/>
      <charset val="136"/>
    </font>
    <font>
      <sz val="12"/>
      <color theme="1"/>
      <name val="標楷體"/>
      <family val="4"/>
      <charset val="136"/>
    </font>
    <font>
      <sz val="12"/>
      <color theme="1"/>
      <name val="Calibri"/>
    </font>
    <font>
      <sz val="12"/>
      <color theme="1"/>
      <name val="Arial"/>
    </font>
    <font>
      <vertAlign val="subscript"/>
      <sz val="12"/>
      <color theme="1"/>
      <name val="標楷體"/>
      <family val="4"/>
      <charset val="136"/>
    </font>
    <font>
      <sz val="9"/>
      <name val="Aptos Narrow"/>
      <family val="3"/>
      <charset val="136"/>
      <scheme val="minor"/>
    </font>
    <font>
      <sz val="12"/>
      <color theme="1"/>
      <name val="Aptos Narrow"/>
      <scheme val="minor"/>
    </font>
    <font>
      <vertAlign val="superscript"/>
      <sz val="12"/>
      <color theme="1"/>
      <name val="DFKai-SB"/>
      <family val="4"/>
      <charset val="136"/>
    </font>
    <font>
      <b/>
      <sz val="12"/>
      <color theme="1"/>
      <name val="標楷體"/>
      <family val="4"/>
      <charset val="136"/>
    </font>
    <font>
      <sz val="12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</fills>
  <borders count="31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>
      <alignment vertical="center"/>
    </xf>
  </cellStyleXfs>
  <cellXfs count="4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176" fontId="1" fillId="2" borderId="6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176" fontId="1" fillId="2" borderId="9" xfId="0" applyNumberFormat="1" applyFont="1" applyFill="1" applyBorder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7" fontId="3" fillId="2" borderId="6" xfId="0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1" fontId="3" fillId="0" borderId="17" xfId="0" applyNumberFormat="1" applyFont="1" applyBorder="1" applyAlignment="1">
      <alignment horizontal="center" vertical="center"/>
    </xf>
    <xf numFmtId="176" fontId="3" fillId="2" borderId="18" xfId="0" applyNumberFormat="1" applyFont="1" applyFill="1" applyBorder="1" applyAlignment="1">
      <alignment horizontal="center" vertical="center"/>
    </xf>
    <xf numFmtId="177" fontId="3" fillId="2" borderId="19" xfId="0" applyNumberFormat="1" applyFont="1" applyFill="1" applyBorder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11" fontId="1" fillId="0" borderId="6" xfId="0" applyNumberFormat="1" applyFont="1" applyBorder="1" applyAlignment="1">
      <alignment horizontal="center" vertical="center"/>
    </xf>
    <xf numFmtId="11" fontId="1" fillId="0" borderId="9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vertical="center"/>
    </xf>
    <xf numFmtId="11" fontId="3" fillId="0" borderId="24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vertical="center"/>
    </xf>
    <xf numFmtId="9" fontId="3" fillId="0" borderId="28" xfId="1" applyFont="1" applyBorder="1" applyAlignment="1">
      <alignment horizontal="center" vertical="center"/>
    </xf>
    <xf numFmtId="9" fontId="11" fillId="0" borderId="29" xfId="1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1" fillId="0" borderId="13" xfId="0" applyFont="1" applyBorder="1" applyAlignment="1">
      <alignment vertical="center"/>
    </xf>
    <xf numFmtId="0" fontId="3" fillId="0" borderId="11" xfId="0" applyFont="1" applyBorder="1" applyAlignment="1">
      <alignment horizontal="center" vertical="center" wrapText="1"/>
    </xf>
    <xf numFmtId="0" fontId="11" fillId="0" borderId="14" xfId="0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11" fillId="0" borderId="15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工作表1!$E$37</c:f>
              <c:strCache>
                <c:ptCount val="1"/>
                <c:pt idx="0">
                  <c:v>截流電壓
V(V)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工作表1!$C$38:$C$43</c:f>
              <c:numCache>
                <c:formatCode>General</c:formatCode>
                <c:ptCount val="6"/>
                <c:pt idx="1">
                  <c:v>822000000000000.13</c:v>
                </c:pt>
                <c:pt idx="2">
                  <c:v>741000000000000</c:v>
                </c:pt>
                <c:pt idx="3">
                  <c:v>688000000000000</c:v>
                </c:pt>
                <c:pt idx="4">
                  <c:v>549000000000000</c:v>
                </c:pt>
                <c:pt idx="5" formatCode="0.00E+00">
                  <c:v>520000000000000</c:v>
                </c:pt>
              </c:numCache>
            </c:numRef>
          </c:xVal>
          <c:yVal>
            <c:numRef>
              <c:f>工作表1!$E$38:$E$43</c:f>
              <c:numCache>
                <c:formatCode>0.000_ </c:formatCode>
                <c:ptCount val="6"/>
                <c:pt idx="1">
                  <c:v>1.3540000000000001</c:v>
                </c:pt>
                <c:pt idx="2">
                  <c:v>1.2070000000000001</c:v>
                </c:pt>
                <c:pt idx="3">
                  <c:v>1.036</c:v>
                </c:pt>
                <c:pt idx="4">
                  <c:v>0.629</c:v>
                </c:pt>
                <c:pt idx="5">
                  <c:v>0.4047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27-4007-80CA-E5B90BC8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2416"/>
        <c:axId val="72051936"/>
      </c:scatterChart>
      <c:valAx>
        <c:axId val="72052416"/>
        <c:scaling>
          <c:orientation val="minMax"/>
          <c:min val="5000000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頻率</a:t>
                </a:r>
                <a:r>
                  <a:rPr lang="en-US" altLang="zh-TW"/>
                  <a:t>(Hz)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051936"/>
        <c:crosses val="autoZero"/>
        <c:crossBetween val="midCat"/>
      </c:valAx>
      <c:valAx>
        <c:axId val="7205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截流電壓</a:t>
                </a:r>
                <a:r>
                  <a:rPr lang="en-US" altLang="zh-TW"/>
                  <a:t>V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052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工作表1!$E$3</c:f>
              <c:strCache>
                <c:ptCount val="1"/>
                <c:pt idx="0">
                  <c:v>I(μA)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工作表1!$D$4:$D$17</c:f>
              <c:numCache>
                <c:formatCode>0.00</c:formatCode>
                <c:ptCount val="14"/>
                <c:pt idx="0">
                  <c:v>16</c:v>
                </c:pt>
                <c:pt idx="1">
                  <c:v>13.717421124828531</c:v>
                </c:pt>
                <c:pt idx="2">
                  <c:v>11.890606420927464</c:v>
                </c:pt>
                <c:pt idx="3">
                  <c:v>10.405827263267426</c:v>
                </c:pt>
                <c:pt idx="4">
                  <c:v>9.1827364554637239</c:v>
                </c:pt>
                <c:pt idx="5">
                  <c:v>8.1632653061224438</c:v>
                </c:pt>
                <c:pt idx="6">
                  <c:v>7.3046018991964896</c:v>
                </c:pt>
                <c:pt idx="7">
                  <c:v>6.5746219592373398</c:v>
                </c:pt>
                <c:pt idx="8">
                  <c:v>5.9488399762046358</c:v>
                </c:pt>
                <c:pt idx="9">
                  <c:v>5.4083288263926406</c:v>
                </c:pt>
                <c:pt idx="10">
                  <c:v>4.9382716049382678</c:v>
                </c:pt>
                <c:pt idx="11">
                  <c:v>4.5269352648257097</c:v>
                </c:pt>
                <c:pt idx="12">
                  <c:v>4.1649312786338992</c:v>
                </c:pt>
                <c:pt idx="13">
                  <c:v>3.8446751249519382</c:v>
                </c:pt>
              </c:numCache>
            </c:numRef>
          </c:xVal>
          <c:yVal>
            <c:numRef>
              <c:f>工作表1!$E$4:$E$17</c:f>
              <c:numCache>
                <c:formatCode>0.0000_ </c:formatCode>
                <c:ptCount val="14"/>
                <c:pt idx="0">
                  <c:v>1.6279999999999999</c:v>
                </c:pt>
                <c:pt idx="1">
                  <c:v>1.48</c:v>
                </c:pt>
                <c:pt idx="2">
                  <c:v>1.375</c:v>
                </c:pt>
                <c:pt idx="3">
                  <c:v>1.2589999999999999</c:v>
                </c:pt>
                <c:pt idx="4">
                  <c:v>1.1628000000000001</c:v>
                </c:pt>
                <c:pt idx="5">
                  <c:v>1.0613999999999999</c:v>
                </c:pt>
                <c:pt idx="6">
                  <c:v>0.98380000000000001</c:v>
                </c:pt>
                <c:pt idx="7">
                  <c:v>0.90580000000000005</c:v>
                </c:pt>
                <c:pt idx="8">
                  <c:v>0.8337</c:v>
                </c:pt>
                <c:pt idx="9">
                  <c:v>0.77980000000000005</c:v>
                </c:pt>
                <c:pt idx="10">
                  <c:v>0.72</c:v>
                </c:pt>
                <c:pt idx="11">
                  <c:v>0.66739999999999999</c:v>
                </c:pt>
                <c:pt idx="12">
                  <c:v>0.62580000000000002</c:v>
                </c:pt>
                <c:pt idx="13">
                  <c:v>0.57669999999999999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00-41A4-A6E9-644B3741A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27488"/>
        <c:axId val="154428448"/>
      </c:scatterChart>
      <c:valAx>
        <c:axId val="15442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1/L2(m-2)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428448"/>
        <c:crosses val="autoZero"/>
        <c:crossBetween val="midCat"/>
      </c:valAx>
      <c:valAx>
        <c:axId val="15442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I(</a:t>
                </a:r>
                <a:r>
                  <a:rPr lang="el-GR" altLang="zh-TW"/>
                  <a:t>μ</a:t>
                </a:r>
                <a:r>
                  <a:rPr lang="en-US" altLang="zh-TW"/>
                  <a:t>A)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427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235857</xdr:colOff>
      <xdr:row>24</xdr:row>
      <xdr:rowOff>41675</xdr:rowOff>
    </xdr:from>
    <xdr:to>
      <xdr:col>21</xdr:col>
      <xdr:colOff>494127</xdr:colOff>
      <xdr:row>36</xdr:row>
      <xdr:rowOff>95463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D436A93-25C2-B779-6294-531F37217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493059</xdr:colOff>
      <xdr:row>5</xdr:row>
      <xdr:rowOff>214032</xdr:rowOff>
    </xdr:from>
    <xdr:to>
      <xdr:col>16</xdr:col>
      <xdr:colOff>134471</xdr:colOff>
      <xdr:row>18</xdr:row>
      <xdr:rowOff>43702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6E48D5B-C7D7-3DE2-C86D-69D073FFF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2" zoomScale="42" workbookViewId="0">
      <selection activeCell="I36" sqref="I36"/>
    </sheetView>
  </sheetViews>
  <sheetFormatPr defaultColWidth="11.19921875" defaultRowHeight="15" customHeight="1"/>
  <cols>
    <col min="1" max="2" width="8.09765625" customWidth="1"/>
    <col min="3" max="3" width="20.69921875" customWidth="1"/>
    <col min="4" max="5" width="8.09765625" customWidth="1"/>
    <col min="6" max="6" width="12.5" customWidth="1"/>
    <col min="7" max="26" width="8.09765625" customWidth="1"/>
  </cols>
  <sheetData>
    <row r="1" spans="1:26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1"/>
      <c r="B3" s="3" t="s">
        <v>1</v>
      </c>
      <c r="C3" s="4" t="s">
        <v>2</v>
      </c>
      <c r="D3" s="4" t="s">
        <v>18</v>
      </c>
      <c r="E3" s="5" t="s">
        <v>19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"/>
      <c r="B4" s="6">
        <v>1</v>
      </c>
      <c r="C4" s="7">
        <v>0.25</v>
      </c>
      <c r="D4" s="8">
        <f t="shared" ref="D4:D17" si="0">1/C4^2</f>
        <v>16</v>
      </c>
      <c r="E4" s="9">
        <v>1.6279999999999999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1"/>
      <c r="B5" s="6">
        <v>2</v>
      </c>
      <c r="C5" s="7">
        <f t="shared" ref="C5:C17" si="1">C4 + 0.02</f>
        <v>0.27</v>
      </c>
      <c r="D5" s="8">
        <f t="shared" si="0"/>
        <v>13.717421124828531</v>
      </c>
      <c r="E5" s="9">
        <v>1.48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1"/>
      <c r="B6" s="6">
        <v>3</v>
      </c>
      <c r="C6" s="7">
        <f t="shared" si="1"/>
        <v>0.29000000000000004</v>
      </c>
      <c r="D6" s="8">
        <f t="shared" si="0"/>
        <v>11.890606420927464</v>
      </c>
      <c r="E6" s="9">
        <v>1.375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1"/>
      <c r="B7" s="6">
        <v>4</v>
      </c>
      <c r="C7" s="7">
        <f t="shared" si="1"/>
        <v>0.31000000000000005</v>
      </c>
      <c r="D7" s="8">
        <f t="shared" si="0"/>
        <v>10.405827263267426</v>
      </c>
      <c r="E7" s="9">
        <v>1.2589999999999999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1"/>
      <c r="B8" s="6">
        <v>5</v>
      </c>
      <c r="C8" s="7">
        <f t="shared" si="1"/>
        <v>0.33000000000000007</v>
      </c>
      <c r="D8" s="8">
        <f t="shared" si="0"/>
        <v>9.1827364554637239</v>
      </c>
      <c r="E8" s="9">
        <v>1.1628000000000001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1"/>
      <c r="B9" s="6">
        <v>6</v>
      </c>
      <c r="C9" s="7">
        <f t="shared" si="1"/>
        <v>0.35000000000000009</v>
      </c>
      <c r="D9" s="8">
        <f t="shared" si="0"/>
        <v>8.1632653061224438</v>
      </c>
      <c r="E9" s="9">
        <v>1.0613999999999999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1"/>
      <c r="B10" s="6">
        <v>7</v>
      </c>
      <c r="C10" s="7">
        <f t="shared" si="1"/>
        <v>0.37000000000000011</v>
      </c>
      <c r="D10" s="8">
        <f t="shared" si="0"/>
        <v>7.3046018991964896</v>
      </c>
      <c r="E10" s="9">
        <v>0.98380000000000001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1"/>
      <c r="B11" s="6">
        <v>8</v>
      </c>
      <c r="C11" s="7">
        <f t="shared" si="1"/>
        <v>0.39000000000000012</v>
      </c>
      <c r="D11" s="8">
        <f t="shared" si="0"/>
        <v>6.5746219592373398</v>
      </c>
      <c r="E11" s="9">
        <v>0.90580000000000005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1"/>
      <c r="B12" s="6">
        <v>9</v>
      </c>
      <c r="C12" s="7">
        <f t="shared" si="1"/>
        <v>0.41000000000000014</v>
      </c>
      <c r="D12" s="8">
        <f t="shared" si="0"/>
        <v>5.9488399762046358</v>
      </c>
      <c r="E12" s="9">
        <v>0.8337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"/>
      <c r="B13" s="6">
        <v>10</v>
      </c>
      <c r="C13" s="7">
        <f t="shared" si="1"/>
        <v>0.43000000000000016</v>
      </c>
      <c r="D13" s="8">
        <f t="shared" si="0"/>
        <v>5.4083288263926406</v>
      </c>
      <c r="E13" s="9">
        <v>0.77980000000000005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1"/>
      <c r="B14" s="6">
        <v>11</v>
      </c>
      <c r="C14" s="7">
        <f t="shared" si="1"/>
        <v>0.45000000000000018</v>
      </c>
      <c r="D14" s="8">
        <f t="shared" si="0"/>
        <v>4.9382716049382678</v>
      </c>
      <c r="E14" s="9">
        <v>0.72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1"/>
      <c r="B15" s="6">
        <v>12</v>
      </c>
      <c r="C15" s="7">
        <f t="shared" si="1"/>
        <v>0.4700000000000002</v>
      </c>
      <c r="D15" s="8">
        <f t="shared" si="0"/>
        <v>4.5269352648257097</v>
      </c>
      <c r="E15" s="9">
        <v>0.66739999999999999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1"/>
      <c r="B16" s="6">
        <v>13</v>
      </c>
      <c r="C16" s="7">
        <f t="shared" si="1"/>
        <v>0.49000000000000021</v>
      </c>
      <c r="D16" s="8">
        <f t="shared" si="0"/>
        <v>4.1649312786338992</v>
      </c>
      <c r="E16" s="9">
        <v>0.62580000000000002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1"/>
      <c r="B17" s="10">
        <v>14</v>
      </c>
      <c r="C17" s="11">
        <f t="shared" si="1"/>
        <v>0.51000000000000023</v>
      </c>
      <c r="D17" s="12">
        <f t="shared" si="0"/>
        <v>3.8446751249519382</v>
      </c>
      <c r="E17" s="13">
        <v>0.57669999999999999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9.4" customHeight="1">
      <c r="A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customHeight="1">
      <c r="A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1"/>
      <c r="G24" s="1"/>
      <c r="H24" s="1"/>
      <c r="I24" s="1"/>
      <c r="J24" s="1"/>
      <c r="K24" s="1"/>
      <c r="L24" s="1"/>
      <c r="M24" s="1"/>
      <c r="N24" s="1"/>
      <c r="O24" s="14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 thickBot="1">
      <c r="A36" s="1"/>
      <c r="B36" s="15" t="s">
        <v>3</v>
      </c>
      <c r="C36" s="16"/>
      <c r="D36" s="16"/>
      <c r="E36" s="16"/>
      <c r="F36" s="1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 thickTop="1">
      <c r="A37" s="1"/>
      <c r="B37" s="38" t="s">
        <v>4</v>
      </c>
      <c r="C37" s="40" t="s">
        <v>17</v>
      </c>
      <c r="D37" s="40" t="s">
        <v>20</v>
      </c>
      <c r="E37" s="42" t="s">
        <v>16</v>
      </c>
      <c r="F37" s="1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1"/>
      <c r="B38" s="39"/>
      <c r="C38" s="41"/>
      <c r="D38" s="41"/>
      <c r="E38" s="43"/>
      <c r="F38" s="1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1"/>
      <c r="B39" s="17" t="s">
        <v>5</v>
      </c>
      <c r="C39" s="18">
        <f>8.22*10^14</f>
        <v>822000000000000.13</v>
      </c>
      <c r="D39" s="19">
        <v>7.3599999999999999E-2</v>
      </c>
      <c r="E39" s="20">
        <v>1.3540000000000001</v>
      </c>
      <c r="F39" s="1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1"/>
      <c r="B40" s="17" t="s">
        <v>6</v>
      </c>
      <c r="C40" s="18">
        <f>7.41*10^14</f>
        <v>741000000000000</v>
      </c>
      <c r="D40" s="19">
        <v>1.9900000000000001E-2</v>
      </c>
      <c r="E40" s="20">
        <v>1.2070000000000001</v>
      </c>
      <c r="F40" s="1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1"/>
      <c r="B41" s="17" t="s">
        <v>7</v>
      </c>
      <c r="C41" s="18">
        <f>6.88*10^14</f>
        <v>688000000000000</v>
      </c>
      <c r="D41" s="19">
        <v>6.9500000000000006E-2</v>
      </c>
      <c r="E41" s="20">
        <v>1.036</v>
      </c>
      <c r="F41" s="1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1"/>
      <c r="B42" s="17" t="s">
        <v>8</v>
      </c>
      <c r="C42" s="18">
        <f>5.49*10^14</f>
        <v>549000000000000</v>
      </c>
      <c r="D42" s="19">
        <v>3.5499999999999997E-2</v>
      </c>
      <c r="E42" s="20">
        <v>0.629</v>
      </c>
      <c r="F42" s="16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thickBot="1">
      <c r="A43" s="1"/>
      <c r="B43" s="21" t="s">
        <v>9</v>
      </c>
      <c r="C43" s="22">
        <f>5.2*10^14</f>
        <v>520000000000000</v>
      </c>
      <c r="D43" s="23">
        <v>2.0899999999999998E-2</v>
      </c>
      <c r="E43" s="24">
        <v>0.4047</v>
      </c>
      <c r="F43" s="16" t="s">
        <v>10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 thickTop="1">
      <c r="A44" s="1"/>
      <c r="B44" s="44" t="s">
        <v>11</v>
      </c>
      <c r="C44" s="45"/>
      <c r="D44" s="36">
        <f>3*10^-15</f>
        <v>3.0000000000000002E-15</v>
      </c>
      <c r="E44" s="33"/>
      <c r="F44" s="25">
        <f>D45/1.6/10^-19</f>
        <v>4.1437500000000003E-15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1"/>
      <c r="B45" s="28" t="s">
        <v>12</v>
      </c>
      <c r="C45" s="29"/>
      <c r="D45" s="36">
        <f>6.63*10^-34</f>
        <v>6.6300000000000008E-34</v>
      </c>
      <c r="E45" s="37"/>
      <c r="F45" s="1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1"/>
      <c r="B46" s="28" t="s">
        <v>13</v>
      </c>
      <c r="C46" s="29"/>
      <c r="D46" s="32">
        <f>D44* 1.6 * 10^-19</f>
        <v>4.8000000000000007E-34</v>
      </c>
      <c r="E46" s="33"/>
      <c r="F46" s="1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 thickBot="1">
      <c r="A47" s="1"/>
      <c r="B47" s="30" t="s">
        <v>14</v>
      </c>
      <c r="C47" s="31"/>
      <c r="D47" s="34">
        <f>ABS((D45-D46)/D45)</f>
        <v>0.27601809954751128</v>
      </c>
      <c r="E47" s="35"/>
      <c r="F47" s="1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 thickTop="1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 thickTop="1">
      <c r="A49" s="1"/>
      <c r="B49" s="3" t="s">
        <v>4</v>
      </c>
      <c r="C49" s="5" t="s">
        <v>15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1"/>
      <c r="B50" s="6" t="s">
        <v>5</v>
      </c>
      <c r="C50" s="26">
        <f>(D44*C39-1.6*10^-19*E39)/1.6/10^-19</f>
        <v>1.5412500000000002E+19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>
      <c r="A51" s="1"/>
      <c r="B51" s="6" t="s">
        <v>6</v>
      </c>
      <c r="C51" s="26">
        <f>(D44*C40-1.6*10^-19*E40)/1.6/10^-19</f>
        <v>1.389375E+19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>
      <c r="A52" s="1"/>
      <c r="B52" s="6" t="s">
        <v>7</v>
      </c>
      <c r="C52" s="26">
        <f>(D44*C41-1.6*10^-19*E41)/1.6/10^-19</f>
        <v>1.29E+19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>
      <c r="A53" s="1"/>
      <c r="B53" s="6" t="s">
        <v>8</v>
      </c>
      <c r="C53" s="26">
        <f>(D44*C42-1.6*10^-19*E42)/1.6/10^-19</f>
        <v>1.029375E+19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thickBot="1">
      <c r="A54" s="1"/>
      <c r="B54" s="10" t="s">
        <v>9</v>
      </c>
      <c r="C54" s="27">
        <f>(D44*C43-1.6*10^-19*E43)/1.6/10^-19</f>
        <v>9.75E+18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thickTop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D44:E44"/>
    <mergeCell ref="D45:E45"/>
    <mergeCell ref="B37:B38"/>
    <mergeCell ref="C37:C38"/>
    <mergeCell ref="D37:D38"/>
    <mergeCell ref="E37:E38"/>
    <mergeCell ref="B44:C44"/>
    <mergeCell ref="B45:C45"/>
    <mergeCell ref="B46:C46"/>
    <mergeCell ref="B47:C47"/>
    <mergeCell ref="D46:E46"/>
    <mergeCell ref="D47:E47"/>
  </mergeCells>
  <phoneticPr fontId="7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楊善筑</dc:creator>
  <cp:lastModifiedBy>王翊權</cp:lastModifiedBy>
  <dcterms:created xsi:type="dcterms:W3CDTF">2024-05-10T12:13:42Z</dcterms:created>
  <dcterms:modified xsi:type="dcterms:W3CDTF">2026-05-18T04:03:08Z</dcterms:modified>
</cp:coreProperties>
</file>